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2.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3.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4.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d Amjad Ali Khan\Documents\Arshiya(docs)\"/>
    </mc:Choice>
  </mc:AlternateContent>
  <xr:revisionPtr revIDLastSave="0" documentId="13_ncr:1_{FFCC3570-03E0-4BED-84EB-2F9D5A0239EA}" xr6:coauthVersionLast="47" xr6:coauthVersionMax="47" xr10:uidLastSave="{00000000-0000-0000-0000-000000000000}"/>
  <bookViews>
    <workbookView xWindow="-108" yWindow="-108" windowWidth="23256" windowHeight="12456" firstSheet="8" activeTab="14" xr2:uid="{2ACF3305-21B5-4554-8C2B-74A9E3355771}"/>
  </bookViews>
  <sheets>
    <sheet name=" Raw_data" sheetId="1" r:id="rId1"/>
    <sheet name="Notes" sheetId="6" r:id="rId2"/>
    <sheet name="Sheet1" sheetId="22" r:id="rId3"/>
    <sheet name=" Main_data" sheetId="2" r:id="rId4"/>
    <sheet name=" Transposed Data" sheetId="7" r:id="rId5"/>
    <sheet name=" Q1" sheetId="8" r:id="rId6"/>
    <sheet name=" Q2" sheetId="9" r:id="rId7"/>
    <sheet name=" Q3(i)" sheetId="14" r:id="rId8"/>
    <sheet name="Q3(ii)" sheetId="12" r:id="rId9"/>
    <sheet name="Q4(Pre-Covid)" sheetId="15" r:id="rId10"/>
    <sheet name="Q4(Post-Covid)" sheetId="16" r:id="rId11"/>
    <sheet name="Q4(comparison)" sheetId="17" r:id="rId12"/>
    <sheet name="Crude Oil prices" sheetId="19" r:id="rId13"/>
    <sheet name=" Q5" sheetId="20" r:id="rId14"/>
    <sheet name="Dashboard" sheetId="21" r:id="rId15"/>
  </sheets>
  <definedNames>
    <definedName name="_xlnm._FilterDatabase" localSheetId="4" hidden="1">' Transposed Data'!$B$1:$B$83</definedName>
    <definedName name="Broader_Category">' Transposed Data'!$B$1:$B$83</definedName>
    <definedName name="Feb_2019">' Transposed Data'!$BZ$1:$BZ$83</definedName>
    <definedName name="Feb_2020">' Transposed Data'!$CK$1:$CK$83</definedName>
    <definedName name="Feb_2021">' Transposed Data'!$CW$1:$CW$83</definedName>
    <definedName name="Feb_2022">' Transposed Data'!$DI$1:$DI$83</definedName>
    <definedName name="Jan_2019">' Transposed Data'!$BY$1:$BY$83</definedName>
    <definedName name="Mar_2018">' Transposed Data'!$BO$1:$BO$83</definedName>
    <definedName name="March_2019">' Transposed Data'!$CA$1:$CA$83</definedName>
    <definedName name="March_2020">' Transposed Data'!$CL$1:$CL$83</definedName>
    <definedName name="March_2021">' Transposed Data'!$CX$1:$CX$83</definedName>
    <definedName name="May_2023">' Transposed Data'!$DX$1:$DX$83</definedName>
    <definedName name="Sector">' Transposed Data'!$C$1:$C$83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2" i="9" l="1"/>
  <c r="E13" i="9"/>
  <c r="E14" i="9"/>
  <c r="E15" i="9"/>
  <c r="E16" i="9"/>
  <c r="E17" i="9"/>
  <c r="D9" i="20"/>
  <c r="D14" i="20"/>
  <c r="D15" i="20"/>
  <c r="D16" i="20"/>
  <c r="D17" i="20"/>
  <c r="D18" i="20"/>
  <c r="D19" i="20"/>
  <c r="D20" i="20"/>
  <c r="D21" i="20"/>
  <c r="D22" i="20"/>
  <c r="D23" i="20"/>
  <c r="D24" i="20"/>
  <c r="D25" i="20"/>
  <c r="D26" i="20"/>
  <c r="D27" i="20"/>
  <c r="D28" i="20"/>
  <c r="D29" i="20"/>
  <c r="D30" i="20"/>
  <c r="D31" i="20"/>
  <c r="D32" i="20"/>
  <c r="D33" i="20"/>
  <c r="D34" i="20"/>
  <c r="D35" i="20"/>
  <c r="D13" i="20"/>
  <c r="D12" i="20"/>
  <c r="D11" i="20"/>
  <c r="D10" i="20"/>
  <c r="G52" i="16"/>
  <c r="G51" i="16"/>
  <c r="G50" i="16"/>
  <c r="G28" i="16"/>
  <c r="G27" i="16"/>
  <c r="G26" i="16"/>
  <c r="G8" i="16"/>
  <c r="G7" i="16"/>
  <c r="G6" i="16"/>
  <c r="F52" i="16"/>
  <c r="F51" i="16"/>
  <c r="F50" i="16"/>
  <c r="F28" i="16"/>
  <c r="F27" i="16"/>
  <c r="F26" i="16"/>
  <c r="F8" i="16"/>
  <c r="F7" i="16"/>
  <c r="F6" i="16"/>
  <c r="E52" i="16"/>
  <c r="E51" i="16"/>
  <c r="E50" i="16"/>
  <c r="E28" i="16"/>
  <c r="E27" i="16"/>
  <c r="E26" i="16"/>
  <c r="E8" i="16"/>
  <c r="E7" i="16"/>
  <c r="E6" i="16"/>
  <c r="D52" i="16"/>
  <c r="D51" i="16"/>
  <c r="D50" i="16"/>
  <c r="D28" i="16"/>
  <c r="D27" i="16"/>
  <c r="D26" i="16"/>
  <c r="D8" i="16"/>
  <c r="D7" i="16"/>
  <c r="D6" i="16"/>
  <c r="G59" i="15"/>
  <c r="G58" i="15"/>
  <c r="G57" i="15"/>
  <c r="F59" i="15"/>
  <c r="F58" i="15"/>
  <c r="F57" i="15"/>
  <c r="E59" i="15"/>
  <c r="E58" i="15"/>
  <c r="E57" i="15"/>
  <c r="D59" i="15"/>
  <c r="D58" i="15"/>
  <c r="D57" i="15"/>
  <c r="G35" i="15"/>
  <c r="G34" i="15"/>
  <c r="G33" i="15"/>
  <c r="F35" i="15"/>
  <c r="F34" i="15"/>
  <c r="F33" i="15"/>
  <c r="E35" i="15"/>
  <c r="E34" i="15"/>
  <c r="E33" i="15"/>
  <c r="D35" i="15"/>
  <c r="D34" i="15"/>
  <c r="D33" i="15"/>
  <c r="G14" i="15"/>
  <c r="G13" i="15"/>
  <c r="G12" i="15"/>
  <c r="F14" i="15"/>
  <c r="F13" i="15"/>
  <c r="F12" i="15"/>
  <c r="E14" i="15"/>
  <c r="E13" i="15"/>
  <c r="E12" i="15"/>
  <c r="D14" i="15"/>
  <c r="D13" i="15"/>
  <c r="D12" i="15"/>
  <c r="C15" i="8"/>
  <c r="F24" i="14"/>
  <c r="G24" i="14"/>
  <c r="H24" i="14"/>
  <c r="I24" i="14"/>
  <c r="J24" i="14"/>
  <c r="K24" i="14"/>
  <c r="L24" i="14"/>
  <c r="M24" i="14"/>
  <c r="N24" i="14"/>
  <c r="O24" i="14"/>
  <c r="P24" i="14"/>
  <c r="Q24" i="14"/>
  <c r="E24" i="14"/>
  <c r="F20" i="12"/>
  <c r="F19" i="12"/>
  <c r="F18" i="12"/>
  <c r="F17" i="12"/>
  <c r="F16" i="12"/>
  <c r="F15" i="12"/>
  <c r="F14" i="12"/>
  <c r="F13" i="12"/>
  <c r="F12" i="12"/>
  <c r="F11" i="12"/>
  <c r="F10" i="12"/>
  <c r="F9" i="1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25" i="2"/>
  <c r="E23" i="8"/>
  <c r="D23" i="8"/>
  <c r="C23" i="8"/>
  <c r="E22" i="8"/>
  <c r="D22" i="8"/>
  <c r="C22" i="8"/>
  <c r="E21" i="8"/>
  <c r="D21" i="8"/>
  <c r="C21" i="8"/>
  <c r="E20" i="8"/>
  <c r="D20" i="8"/>
  <c r="C20" i="8"/>
  <c r="E19" i="8"/>
  <c r="D19" i="8"/>
  <c r="C19" i="8"/>
  <c r="E18" i="8"/>
  <c r="D18" i="8"/>
  <c r="C18" i="8"/>
  <c r="E17" i="8"/>
  <c r="D17" i="8"/>
  <c r="C17" i="8"/>
  <c r="E16" i="8"/>
  <c r="D16" i="8"/>
  <c r="C16" i="8"/>
  <c r="E15" i="8"/>
  <c r="D15" i="8"/>
  <c r="P26" i="6"/>
  <c r="P25" i="6"/>
  <c r="O25" i="14" l="1"/>
  <c r="G25" i="14"/>
  <c r="P25" i="14"/>
  <c r="M25" i="14"/>
  <c r="Q25" i="14"/>
  <c r="J25" i="14"/>
  <c r="I25" i="14"/>
  <c r="H25" i="14"/>
  <c r="N25" i="14"/>
  <c r="L25" i="14"/>
  <c r="I8" i="16"/>
  <c r="H26" i="16"/>
  <c r="I7" i="16"/>
  <c r="H28" i="16"/>
  <c r="I26" i="16"/>
  <c r="H27" i="16"/>
  <c r="I14" i="15"/>
  <c r="H50" i="16"/>
  <c r="I27" i="16"/>
  <c r="H13" i="15"/>
  <c r="H51" i="16"/>
  <c r="I28" i="16"/>
  <c r="H14" i="15"/>
  <c r="H6" i="16"/>
  <c r="H52" i="16"/>
  <c r="I50" i="16"/>
  <c r="I34" i="15"/>
  <c r="H7" i="16"/>
  <c r="I51" i="16"/>
  <c r="H8" i="16"/>
  <c r="I6" i="16"/>
  <c r="I52" i="16"/>
  <c r="I57" i="15"/>
  <c r="I59" i="15"/>
  <c r="I58" i="15"/>
  <c r="H57" i="15"/>
  <c r="H59" i="15"/>
  <c r="H58" i="15"/>
  <c r="I33" i="15"/>
  <c r="I35" i="15"/>
  <c r="H33" i="15"/>
  <c r="H35" i="15"/>
  <c r="H34" i="15"/>
  <c r="I12" i="15"/>
  <c r="I13" i="15"/>
  <c r="H12" i="15"/>
  <c r="F25" i="14"/>
  <c r="K25" i="14"/>
  <c r="E24" i="8"/>
  <c r="H21" i="8" s="1"/>
  <c r="D24" i="8"/>
  <c r="G17" i="8" s="1"/>
  <c r="C24" i="8"/>
  <c r="F17" i="8" s="1"/>
  <c r="F15" i="8" l="1"/>
  <c r="H16" i="8"/>
  <c r="F18" i="8"/>
  <c r="F20" i="8"/>
  <c r="F16" i="8"/>
  <c r="H17" i="8"/>
  <c r="F22" i="8"/>
  <c r="H22" i="8"/>
  <c r="F21" i="8"/>
  <c r="H19" i="8"/>
  <c r="H18" i="8"/>
  <c r="H15" i="8"/>
  <c r="H20" i="8"/>
  <c r="G18" i="8"/>
  <c r="G15" i="8"/>
  <c r="G22" i="8"/>
  <c r="G19" i="8"/>
  <c r="G21" i="8"/>
  <c r="G20" i="8"/>
  <c r="G16" i="8"/>
  <c r="F19" i="8"/>
  <c r="H24" i="8" l="1"/>
  <c r="F24" i="8"/>
  <c r="G24" i="8"/>
</calcChain>
</file>

<file path=xl/sharedStrings.xml><?xml version="1.0" encoding="utf-8"?>
<sst xmlns="http://schemas.openxmlformats.org/spreadsheetml/2006/main" count="3123" uniqueCount="187">
  <si>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</si>
  <si>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</si>
  <si>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</si>
  <si>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</si>
  <si>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</si>
  <si>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</si>
  <si>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</si>
  <si>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</si>
  <si>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</si>
  <si>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</si>
  <si>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</si>
  <si>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</si>
  <si>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</si>
  <si>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</si>
  <si>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</si>
  <si>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</si>
  <si>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</si>
  <si>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</si>
  <si>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</si>
  <si>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</si>
  <si>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</si>
  <si>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</si>
  <si>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</si>
  <si>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</si>
  <si>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</si>
  <si>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</si>
  <si>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</si>
  <si>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</si>
  <si>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</si>
  <si>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</si>
  <si>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</si>
  <si>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</si>
  <si>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</si>
  <si>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</si>
  <si>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</si>
  <si>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</si>
  <si>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</si>
  <si>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</si>
  <si>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</si>
  <si>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</si>
  <si>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</si>
  <si>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</si>
  <si>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</si>
  <si>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</si>
  <si>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</si>
  <si>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</si>
  <si>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</si>
  <si>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</si>
  <si>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</si>
  <si>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Focus on:</t>
  </si>
  <si>
    <t>1. Time Duration</t>
  </si>
  <si>
    <t>2. Aggregation</t>
  </si>
  <si>
    <t>3 Pivot Point</t>
  </si>
  <si>
    <t>4. Categories</t>
  </si>
  <si>
    <t>5. Misc</t>
  </si>
  <si>
    <t>Jan</t>
  </si>
  <si>
    <t>Dec</t>
  </si>
  <si>
    <t>YOY Inflation</t>
  </si>
  <si>
    <t>Gen Index</t>
  </si>
  <si>
    <t>dec-jan/jan</t>
  </si>
  <si>
    <t>no data</t>
  </si>
  <si>
    <t>say we do not have data as the timeframe is may 2023. so do the analysis until 2022 and highlight the same</t>
  </si>
  <si>
    <t xml:space="preserve"> </t>
  </si>
  <si>
    <t>Dataset:All India Index (Jan 2017 to May 2023)</t>
  </si>
  <si>
    <t>Category</t>
  </si>
  <si>
    <t>Broader Category</t>
  </si>
  <si>
    <t>Food</t>
  </si>
  <si>
    <t>Luxury</t>
  </si>
  <si>
    <t>Essential</t>
  </si>
  <si>
    <t>Misc</t>
  </si>
  <si>
    <t>GI</t>
  </si>
  <si>
    <t>Sectors</t>
  </si>
  <si>
    <t>Rural(%)</t>
  </si>
  <si>
    <t>Rural+Urban(%)</t>
  </si>
  <si>
    <t>Urban(%)</t>
  </si>
  <si>
    <t>Broader Categories</t>
  </si>
  <si>
    <t>Total</t>
  </si>
  <si>
    <t>Total(Except GI)</t>
  </si>
  <si>
    <t>Broader categories</t>
  </si>
  <si>
    <t>Insights</t>
  </si>
  <si>
    <t>Rural+Urban Inflation</t>
  </si>
  <si>
    <t>General Index</t>
  </si>
  <si>
    <t>Years</t>
  </si>
  <si>
    <t>Months</t>
  </si>
  <si>
    <t>MOM Inflation</t>
  </si>
  <si>
    <t>June(2022)</t>
  </si>
  <si>
    <t>May(2023)</t>
  </si>
  <si>
    <t>Food categories</t>
  </si>
  <si>
    <t>The highest contributor towards the CPI Inflation basket is the Food category. Since it's the same category for all the other sectors, hence, inserted the chart for only one sector</t>
  </si>
  <si>
    <t>Highest YOY Inflation Contributor Among the Food Category</t>
  </si>
  <si>
    <t>Month on Month Food Inflation (June 2022 to May 2023)</t>
  </si>
  <si>
    <t>Aug</t>
  </si>
  <si>
    <t>Sept</t>
  </si>
  <si>
    <t>Oct</t>
  </si>
  <si>
    <t>Nov</t>
  </si>
  <si>
    <t>Feb</t>
  </si>
  <si>
    <r>
      <t xml:space="preserve">The highest Y-o-Y Inflation is observed in the year </t>
    </r>
    <r>
      <rPr>
        <b/>
        <u/>
        <sz val="11"/>
        <color theme="5" tint="-0.499984740745262"/>
        <rFont val="Calibri"/>
        <family val="2"/>
        <scheme val="minor"/>
      </rPr>
      <t>2019</t>
    </r>
    <r>
      <rPr>
        <sz val="11"/>
        <color theme="5" tint="-0.499984740745262"/>
        <rFont val="Calibri"/>
        <family val="2"/>
        <scheme val="minor"/>
      </rPr>
      <t>. The possible reasons for Inflation spike in 2019 is due to food price surge, weather-related crop damage, rupee depreciation, and a low inflation (base effect) from 2018.</t>
    </r>
  </si>
  <si>
    <r>
      <rPr>
        <b/>
        <u/>
        <sz val="11"/>
        <color theme="5" tint="-0.499984740745262"/>
        <rFont val="Calibri"/>
        <family val="2"/>
        <scheme val="minor"/>
      </rPr>
      <t>Spices</t>
    </r>
    <r>
      <rPr>
        <sz val="11"/>
        <color theme="5" tint="-0.499984740745262"/>
        <rFont val="Calibri"/>
        <family val="2"/>
        <scheme val="minor"/>
      </rPr>
      <t xml:space="preserve"> recorded the highest inflation within the Food category at 17% from June 2022 to May 2023</t>
    </r>
  </si>
  <si>
    <t>March(2018)</t>
  </si>
  <si>
    <t>Feb(2019)</t>
  </si>
  <si>
    <t>March(2019)</t>
  </si>
  <si>
    <t>Feb(2020)</t>
  </si>
  <si>
    <t>PRE_COVID(Rural)</t>
  </si>
  <si>
    <t>YOY inflation(2018-2019)</t>
  </si>
  <si>
    <t>YOY inflation(2019-2020)</t>
  </si>
  <si>
    <t>Categories</t>
  </si>
  <si>
    <t>YOY Inflation (2019-2020)</t>
  </si>
  <si>
    <t>YOY Inflation (2018-2019)</t>
  </si>
  <si>
    <t>PRE_COVID(Rural+Urban)</t>
  </si>
  <si>
    <t>PRE_COVID(Urban)</t>
  </si>
  <si>
    <t>POST_COVID(Rural)</t>
  </si>
  <si>
    <t>March(2020)</t>
  </si>
  <si>
    <t>Feb(2021)</t>
  </si>
  <si>
    <t>March(2021)</t>
  </si>
  <si>
    <t>Feb(2022)</t>
  </si>
  <si>
    <t>YOY Inflation (2020-2021)</t>
  </si>
  <si>
    <t>YOY Inflation (2021-2022)</t>
  </si>
  <si>
    <t>POST_COVID(Rural+Urban)</t>
  </si>
  <si>
    <t>POST_COVID(Urban)</t>
  </si>
  <si>
    <t>YOY inflation(2020-2021)</t>
  </si>
  <si>
    <t>YOY inflation(2021-2022)</t>
  </si>
  <si>
    <t>Pre-COVID, inflation was inconsistent. It was highest for Health in 2018-2019, then for Food in 2019-2020. Post-COVID, inflation became consistently high across all categories. The highest inflation was seen in Food in 2020-2021, but then shifted to Essential items in 2021-2022.</t>
  </si>
  <si>
    <t>Pre-COVID, inflation was uneven in rural and urban areas combined. The highest inflation was in Health in 2018-2019, then in Food in 2019-2020. Post COVID, inflation stayed high in all categories. It was highest for Food and Essential in 2020-2021, then for Essentials in 2021-2022.</t>
  </si>
  <si>
    <t>Table Posted: (01-04-2025)</t>
  </si>
  <si>
    <t>Period : Since 2000-01</t>
  </si>
  <si>
    <t>($/bbl.)</t>
  </si>
  <si>
    <t>Average</t>
  </si>
  <si>
    <t>Ratio *</t>
  </si>
  <si>
    <t>2000-01</t>
  </si>
  <si>
    <t>57:43</t>
  </si>
  <si>
    <t>2001-02</t>
  </si>
  <si>
    <t>2002-03</t>
  </si>
  <si>
    <t>2003-04</t>
  </si>
  <si>
    <t>2004-05</t>
  </si>
  <si>
    <t>2005-06</t>
  </si>
  <si>
    <t>58:42</t>
  </si>
  <si>
    <t>2006-07</t>
  </si>
  <si>
    <t>59.8:40.2</t>
  </si>
  <si>
    <t>2007-08</t>
  </si>
  <si>
    <t>61.4:38.6</t>
  </si>
  <si>
    <t>2008-09</t>
  </si>
  <si>
    <t>62.3:37.7</t>
  </si>
  <si>
    <t>2009-10</t>
  </si>
  <si>
    <t>63.5:36.5</t>
  </si>
  <si>
    <t>2010-11</t>
  </si>
  <si>
    <t>67.6:32.4</t>
  </si>
  <si>
    <t>2011-12</t>
  </si>
  <si>
    <t>65.2:34.8</t>
  </si>
  <si>
    <t>2012-13</t>
  </si>
  <si>
    <t>68.2:31.8</t>
  </si>
  <si>
    <t>2013-14</t>
  </si>
  <si>
    <t>69.9:30.1</t>
  </si>
  <si>
    <t>2014-15</t>
  </si>
  <si>
    <t>72.04:27.96</t>
  </si>
  <si>
    <t>2015-16</t>
  </si>
  <si>
    <t>72.28:27.72</t>
  </si>
  <si>
    <t>2016-17</t>
  </si>
  <si>
    <t>71.03:28.97</t>
  </si>
  <si>
    <t>2017-18</t>
  </si>
  <si>
    <t>72.38:27.62</t>
  </si>
  <si>
    <t>2018-19</t>
  </si>
  <si>
    <t>74.77:25.23</t>
  </si>
  <si>
    <t>2019-20</t>
  </si>
  <si>
    <t>75.50:24.50</t>
  </si>
  <si>
    <t>2020-21</t>
  </si>
  <si>
    <t>75.62:24.38</t>
  </si>
  <si>
    <t>2021-22</t>
  </si>
  <si>
    <t>2022-23</t>
  </si>
  <si>
    <t>2023-24</t>
  </si>
  <si>
    <t>2024-25</t>
  </si>
  <si>
    <t>78.50:21.50</t>
  </si>
  <si>
    <t>Notes:</t>
  </si>
  <si>
    <t>* The composition of Indian Basket of Crude represents Average of Oman &amp; Dubai for sour grades and Brent (Dated) for sweet grade in the ratio of  crude processed during previous financial year, e.g. ratio of crude processed as indicated in the table above.</t>
  </si>
  <si>
    <t>- Crude oil prices are average of daily prices of respective month.</t>
  </si>
  <si>
    <t>Petroleum Planning &amp; Analysis Cell</t>
  </si>
  <si>
    <t>Crude Oil FOB Price (Indian Basket)</t>
  </si>
  <si>
    <t>Correl</t>
  </si>
  <si>
    <t>Crude Oil Prices(($/bbl.)</t>
  </si>
  <si>
    <t>All the categories showed a moderate to strong correlation with changes in oil prices, except for eggs and vegetables, which showed a negative and a weak correlation, respectively</t>
  </si>
  <si>
    <t>In the urban sector, before COVID, inflation was inconsistent. The highest inflation was for Health in 2018-2019, then it spiked for Food in 2019-2020. Post-COVID, inflation remained high. It was initially highest for Food and Essentials in 2020-2021, and then decreased in all categories in 2021-2022, with Health having the highest inflation rate among the three categories.</t>
  </si>
  <si>
    <t>June 2022 recorded the highest food inflation, whereas the lowest inflations were seen in December 2022 and again in February 2023</t>
  </si>
  <si>
    <t>Comparison of Pre-Covid and Post-Covid Inflation for different Sectors</t>
  </si>
  <si>
    <t>Inflation Post-Covid(2020-2022)</t>
  </si>
  <si>
    <t>Inflation Pre-Covid(2018-2020)</t>
  </si>
  <si>
    <t>YOY Inflation for Rural+Urban sector(2017-2022)</t>
  </si>
  <si>
    <t>Correlation between imported crude oil prices and CPI values(Dec 2020-March 2023)</t>
  </si>
  <si>
    <t>HIGHEST BROADER CATEGORY CONTRIBUTOR TOWARDS THE CPI INFLATION(May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</si>
</sst>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m"/>
  </numFmts>
  <fonts count="4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u/>
      <sz val="14"/>
      <color theme="1"/>
      <name val="Calibri"/>
      <family val="2"/>
      <scheme val="minor"/>
    </font>
    <font>
      <b/>
      <sz val="14"/>
      <color rgb="FF002060"/>
      <name val="Calibri"/>
      <family val="2"/>
      <scheme val="minor"/>
    </font>
    <font>
      <b/>
      <sz val="12"/>
      <color theme="0"/>
      <name val="Calibri"/>
      <family val="2"/>
      <scheme val="minor"/>
    </font>
    <font>
      <sz val="11"/>
      <color theme="5" tint="-0.499984740745262"/>
      <name val="Calibri"/>
      <family val="2"/>
      <scheme val="minor"/>
    </font>
    <font>
      <sz val="11"/>
      <color rgb="FF880826"/>
      <name val="Calibri"/>
      <family val="2"/>
      <scheme val="minor"/>
    </font>
    <font>
      <b/>
      <sz val="11"/>
      <color theme="2" tint="-0.89999084444715716"/>
      <name val="Calibri"/>
      <family val="2"/>
      <scheme val="minor"/>
    </font>
    <font>
      <b/>
      <sz val="14"/>
      <color theme="0"/>
      <name val="Calibri"/>
      <family val="2"/>
      <scheme val="minor"/>
    </font>
    <font>
      <sz val="11"/>
      <color theme="1"/>
      <name val="Arial"/>
      <family val="2"/>
    </font>
    <font>
      <sz val="11"/>
      <color theme="1"/>
      <name val="Bahnschrift Light SemiCondensed"/>
      <family val="2"/>
    </font>
    <font>
      <b/>
      <sz val="14"/>
      <name val="Calibri"/>
      <family val="2"/>
      <scheme val="minor"/>
    </font>
    <font>
      <sz val="10"/>
      <color theme="1"/>
      <name val="Calibri"/>
      <family val="2"/>
      <scheme val="minor"/>
    </font>
    <font>
      <b/>
      <u/>
      <sz val="11"/>
      <color theme="5" tint="-0.499984740745262"/>
      <name val="Calibri"/>
      <family val="2"/>
      <scheme val="minor"/>
    </font>
    <font>
      <b/>
      <sz val="18"/>
      <color theme="1"/>
      <name val="Calibri"/>
      <family val="2"/>
      <scheme val="minor"/>
    </font>
    <font>
      <sz val="11"/>
      <color theme="1"/>
      <name val="Bahnschrift SemiBold"/>
      <family val="2"/>
    </font>
    <font>
      <sz val="11.5"/>
      <color theme="1"/>
      <name val="Bahnschrift SemiBold"/>
      <family val="2"/>
    </font>
    <font>
      <sz val="10"/>
      <name val="Arial"/>
      <family val="2"/>
    </font>
    <font>
      <b/>
      <sz val="12"/>
      <name val="Times New Roman"/>
      <family val="1"/>
    </font>
    <font>
      <sz val="12"/>
      <color theme="1"/>
      <name val="Times New Roman"/>
      <family val="1"/>
    </font>
    <font>
      <b/>
      <sz val="12"/>
      <color theme="1"/>
      <name val="Times New Roman"/>
      <family val="1"/>
    </font>
    <font>
      <i/>
      <sz val="12"/>
      <name val="Times New Roman"/>
      <family val="1"/>
    </font>
    <font>
      <i/>
      <sz val="12"/>
      <color theme="1"/>
      <name val="Times New Roman"/>
      <family val="1"/>
    </font>
    <font>
      <b/>
      <u/>
      <sz val="16"/>
      <color theme="1"/>
      <name val="Times New Roman"/>
      <family val="1"/>
    </font>
    <font>
      <b/>
      <sz val="14"/>
      <name val="Times New Roman"/>
      <family val="1"/>
    </font>
    <font>
      <b/>
      <sz val="12"/>
      <color rgb="FF880826"/>
      <name val="Calibri"/>
      <family val="2"/>
      <scheme val="minor"/>
    </font>
    <font>
      <b/>
      <u/>
      <sz val="16"/>
      <color theme="0"/>
      <name val="Calibri"/>
      <family val="2"/>
      <scheme val="minor"/>
    </font>
    <font>
      <b/>
      <u/>
      <sz val="12"/>
      <color theme="0"/>
      <name val="Calibri"/>
      <family val="2"/>
      <scheme val="minor"/>
    </font>
    <font>
      <b/>
      <sz val="16"/>
      <color theme="0"/>
      <name val="Calibri"/>
      <family val="2"/>
      <scheme val="minor"/>
    </font>
    <font>
      <b/>
      <u/>
      <sz val="11"/>
      <color theme="0"/>
      <name val="Calibri"/>
      <family val="2"/>
      <scheme val="minor"/>
    </font>
    <font>
      <sz val="14"/>
      <color theme="5" tint="-0.499984740745262"/>
      <name val="Calibri"/>
      <family val="2"/>
      <scheme val="minor"/>
    </font>
    <font>
      <b/>
      <sz val="12"/>
      <color theme="1"/>
      <name val="Calibri"/>
      <family val="2"/>
      <scheme val="minor"/>
    </font>
  </fonts>
  <fills count="6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7" tint="0.59999389629810485"/>
        <bgColor indexed="64"/>
      </patternFill>
    </fill>
    <fill>
      <patternFill patternType="solid">
        <fgColor theme="7" tint="0.79998168889431442"/>
        <bgColor theme="4" tint="0.79998168889431442"/>
      </patternFill>
    </fill>
    <fill>
      <patternFill patternType="solid">
        <fgColor theme="5" tint="0.79998168889431442"/>
        <bgColor theme="4" tint="0.79998168889431442"/>
      </patternFill>
    </fill>
    <fill>
      <patternFill patternType="solid">
        <fgColor rgb="FFFFCCFF"/>
        <bgColor indexed="64"/>
      </patternFill>
    </fill>
    <fill>
      <patternFill patternType="solid">
        <fgColor rgb="FFFF6699"/>
        <bgColor indexed="64"/>
      </patternFill>
    </fill>
    <fill>
      <patternFill patternType="solid">
        <fgColor rgb="FFCCEC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CFFCC"/>
        <bgColor indexed="64"/>
      </patternFill>
    </fill>
    <fill>
      <patternFill patternType="solid">
        <fgColor theme="5" tint="0.79998168889431442"/>
        <bgColor indexed="64"/>
      </patternFill>
    </fill>
    <fill>
      <patternFill patternType="solid">
        <fgColor rgb="FF99CCFF"/>
        <bgColor indexed="64"/>
      </patternFill>
    </fill>
    <fill>
      <patternFill patternType="solid">
        <fgColor rgb="FFFFCC99"/>
        <bgColor indexed="64"/>
      </patternFill>
    </fill>
    <fill>
      <patternFill patternType="solid">
        <fgColor theme="8" tint="-0.249977111117893"/>
        <bgColor indexed="64"/>
      </patternFill>
    </fill>
    <fill>
      <patternFill patternType="solid">
        <fgColor theme="4" tint="0.79998168889431442"/>
        <bgColor indexed="64"/>
      </patternFill>
    </fill>
    <fill>
      <patternFill patternType="solid">
        <fgColor theme="7" tint="-0.249977111117893"/>
        <bgColor indexed="64"/>
      </patternFill>
    </fill>
    <fill>
      <patternFill patternType="solid">
        <fgColor theme="0"/>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rgb="FF0070C0"/>
        <bgColor indexed="64"/>
      </patternFill>
    </fill>
    <fill>
      <patternFill patternType="solid">
        <fgColor theme="4" tint="-0.249977111117893"/>
        <bgColor indexed="64"/>
      </patternFill>
    </fill>
    <fill>
      <patternFill patternType="solid">
        <fgColor theme="7" tint="-0.499984740745262"/>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rgb="FF92D050"/>
        <bgColor indexed="64"/>
      </patternFill>
    </fill>
    <fill>
      <patternFill patternType="solid">
        <fgColor rgb="FFFFFF00"/>
        <bgColor indexed="64"/>
      </patternFill>
    </fill>
    <fill>
      <patternFill patternType="solid">
        <fgColor theme="4" tint="-0.499984740745262"/>
        <bgColor indexed="64"/>
      </patternFill>
    </fill>
    <fill>
      <patternFill patternType="solid">
        <fgColor theme="9" tint="0.39997558519241921"/>
        <bgColor indexed="64"/>
      </patternFill>
    </fill>
    <fill>
      <patternFill patternType="solid">
        <fgColor rgb="FF7030A0"/>
        <bgColor indexed="64"/>
      </patternFill>
    </fill>
    <fill>
      <patternFill patternType="solid">
        <fgColor theme="1"/>
        <bgColor indexed="64"/>
      </patternFill>
    </fill>
  </fills>
  <borders count="9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theme="5" tint="-0.499984740745262"/>
      </right>
      <top/>
      <bottom/>
      <diagonal/>
    </border>
    <border>
      <left/>
      <right/>
      <top style="thin">
        <color theme="5" tint="-0.499984740745262"/>
      </top>
      <bottom/>
      <diagonal/>
    </border>
    <border>
      <left style="thin">
        <color theme="5" tint="-0.499984740745262"/>
      </left>
      <right style="thin">
        <color theme="5" tint="-0.499984740745262"/>
      </right>
      <top style="thin">
        <color theme="5" tint="-0.499984740745262"/>
      </top>
      <bottom style="thin">
        <color theme="5" tint="-0.499984740745262"/>
      </bottom>
      <diagonal/>
    </border>
    <border>
      <left/>
      <right/>
      <top/>
      <bottom style="thin">
        <color theme="5" tint="-0.499984740745262"/>
      </bottom>
      <diagonal/>
    </border>
    <border>
      <left style="thin">
        <color theme="1"/>
      </left>
      <right style="thin">
        <color theme="1"/>
      </right>
      <top style="thin">
        <color theme="1"/>
      </top>
      <bottom style="thin">
        <color theme="1"/>
      </bottom>
      <diagonal/>
    </border>
    <border>
      <left style="thin">
        <color theme="5" tint="-0.499984740745262"/>
      </left>
      <right style="thin">
        <color theme="5" tint="-0.499984740745262"/>
      </right>
      <top style="thin">
        <color theme="5" tint="-0.499984740745262"/>
      </top>
      <bottom/>
      <diagonal/>
    </border>
    <border>
      <left/>
      <right/>
      <top/>
      <bottom style="thin">
        <color theme="1"/>
      </bottom>
      <diagonal/>
    </border>
    <border>
      <left style="thin">
        <color theme="5" tint="-0.499984740745262"/>
      </left>
      <right style="thin">
        <color theme="5" tint="-0.499984740745262"/>
      </right>
      <top/>
      <bottom/>
      <diagonal/>
    </border>
    <border>
      <left style="thin">
        <color theme="5" tint="-0.499984740745262"/>
      </left>
      <right style="thin">
        <color theme="5" tint="-0.499984740745262"/>
      </right>
      <top/>
      <bottom style="thin">
        <color theme="5" tint="-0.499984740745262"/>
      </bottom>
      <diagonal/>
    </border>
    <border>
      <left/>
      <right style="thin">
        <color theme="1"/>
      </right>
      <top/>
      <bottom/>
      <diagonal/>
    </border>
    <border>
      <left/>
      <right style="thin">
        <color theme="1"/>
      </right>
      <top style="thin">
        <color theme="1"/>
      </top>
      <bottom style="thin">
        <color theme="1"/>
      </bottom>
      <diagonal/>
    </border>
    <border>
      <left/>
      <right style="thin">
        <color theme="1"/>
      </right>
      <top/>
      <bottom style="thin">
        <color theme="1"/>
      </bottom>
      <diagonal/>
    </border>
    <border>
      <left/>
      <right/>
      <top style="thin">
        <color theme="1"/>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tint="4.9989318521683403E-2"/>
      </left>
      <right style="thin">
        <color theme="1" tint="4.9989318521683403E-2"/>
      </right>
      <top style="thin">
        <color theme="1" tint="4.9989318521683403E-2"/>
      </top>
      <bottom style="thin">
        <color theme="1" tint="4.9989318521683403E-2"/>
      </bottom>
      <diagonal/>
    </border>
    <border>
      <left style="thin">
        <color theme="1" tint="4.9989318521683403E-2"/>
      </left>
      <right style="thin">
        <color theme="5" tint="-0.499984740745262"/>
      </right>
      <top style="thin">
        <color theme="5" tint="-0.499984740745262"/>
      </top>
      <bottom style="thin">
        <color theme="5" tint="-0.499984740745262"/>
      </bottom>
      <diagonal/>
    </border>
    <border>
      <left style="thin">
        <color theme="5" tint="-0.499984740745262"/>
      </left>
      <right style="thin">
        <color theme="1" tint="4.9989318521683403E-2"/>
      </right>
      <top style="thin">
        <color theme="5" tint="-0.499984740745262"/>
      </top>
      <bottom style="thin">
        <color theme="5" tint="-0.499984740745262"/>
      </bottom>
      <diagonal/>
    </border>
    <border>
      <left style="thin">
        <color theme="1" tint="4.9989318521683403E-2"/>
      </left>
      <right style="thin">
        <color theme="5" tint="-0.499984740745262"/>
      </right>
      <top style="thin">
        <color theme="5" tint="-0.499984740745262"/>
      </top>
      <bottom style="thin">
        <color theme="1" tint="4.9989318521683403E-2"/>
      </bottom>
      <diagonal/>
    </border>
    <border>
      <left style="thin">
        <color theme="5" tint="-0.499984740745262"/>
      </left>
      <right style="thin">
        <color theme="5" tint="-0.499984740745262"/>
      </right>
      <top style="thin">
        <color theme="5" tint="-0.499984740745262"/>
      </top>
      <bottom style="thin">
        <color theme="1" tint="4.9989318521683403E-2"/>
      </bottom>
      <diagonal/>
    </border>
    <border>
      <left style="thin">
        <color theme="5" tint="-0.499984740745262"/>
      </left>
      <right style="thin">
        <color theme="1" tint="4.9989318521683403E-2"/>
      </right>
      <top style="thin">
        <color theme="5" tint="-0.499984740745262"/>
      </top>
      <bottom style="thin">
        <color theme="1" tint="4.9989318521683403E-2"/>
      </bottom>
      <diagonal/>
    </border>
    <border>
      <left style="thin">
        <color theme="1" tint="4.9989318521683403E-2"/>
      </left>
      <right style="thin">
        <color theme="5" tint="-0.499984740745262"/>
      </right>
      <top style="thin">
        <color theme="5" tint="-0.499984740745262"/>
      </top>
      <bottom/>
      <diagonal/>
    </border>
    <border>
      <left style="thin">
        <color theme="1" tint="4.9989318521683403E-2"/>
      </left>
      <right style="thin">
        <color theme="5" tint="-0.499984740745262"/>
      </right>
      <top style="thin">
        <color theme="1" tint="4.9989318521683403E-2"/>
      </top>
      <bottom style="thin">
        <color theme="5" tint="-0.499984740745262"/>
      </bottom>
      <diagonal/>
    </border>
    <border>
      <left style="thin">
        <color theme="5" tint="-0.499984740745262"/>
      </left>
      <right style="thin">
        <color theme="5" tint="-0.499984740745262"/>
      </right>
      <top style="thin">
        <color theme="1" tint="4.9989318521683403E-2"/>
      </top>
      <bottom style="thin">
        <color theme="5" tint="-0.499984740745262"/>
      </bottom>
      <diagonal/>
    </border>
    <border>
      <left style="thin">
        <color theme="5" tint="-0.499984740745262"/>
      </left>
      <right style="thin">
        <color theme="1" tint="4.9989318521683403E-2"/>
      </right>
      <top style="thin">
        <color theme="1" tint="4.9989318521683403E-2"/>
      </top>
      <bottom style="thin">
        <color theme="5" tint="-0.499984740745262"/>
      </bottom>
      <diagonal/>
    </border>
    <border>
      <left style="thin">
        <color theme="1" tint="4.9989318521683403E-2"/>
      </left>
      <right style="thin">
        <color theme="5" tint="-0.499984740745262"/>
      </right>
      <top/>
      <bottom style="thin">
        <color theme="5" tint="-0.499984740745262"/>
      </bottom>
      <diagonal/>
    </border>
    <border>
      <left style="thin">
        <color theme="5" tint="-0.499984740745262"/>
      </left>
      <right style="thin">
        <color theme="1" tint="4.9989318521683403E-2"/>
      </right>
      <top/>
      <bottom style="thin">
        <color theme="5" tint="-0.499984740745262"/>
      </bottom>
      <diagonal/>
    </border>
    <border>
      <left/>
      <right style="thin">
        <color theme="1" tint="4.9989318521683403E-2"/>
      </right>
      <top style="thin">
        <color theme="5" tint="-0.499984740745262"/>
      </top>
      <bottom style="thin">
        <color theme="5" tint="-0.499984740745262"/>
      </bottom>
      <diagonal/>
    </border>
    <border>
      <left style="thin">
        <color theme="1" tint="4.9989318521683403E-2"/>
      </left>
      <right style="thin">
        <color theme="1" tint="4.9989318521683403E-2"/>
      </right>
      <top style="thin">
        <color theme="5" tint="-0.499984740745262"/>
      </top>
      <bottom/>
      <diagonal/>
    </border>
    <border>
      <left style="thin">
        <color theme="1" tint="4.9989318521683403E-2"/>
      </left>
      <right style="thin">
        <color theme="1" tint="4.9989318521683403E-2"/>
      </right>
      <top style="thin">
        <color theme="1" tint="4.9989318521683403E-2"/>
      </top>
      <bottom style="thin">
        <color theme="5" tint="-0.499984740745262"/>
      </bottom>
      <diagonal/>
    </border>
    <border>
      <left style="thin">
        <color theme="1" tint="4.9989318521683403E-2"/>
      </left>
      <right style="thin">
        <color theme="1" tint="4.9989318521683403E-2"/>
      </right>
      <top style="thin">
        <color theme="5" tint="-0.499984740745262"/>
      </top>
      <bottom style="thin">
        <color theme="5" tint="-0.499984740745262"/>
      </bottom>
      <diagonal/>
    </border>
    <border>
      <left style="thin">
        <color theme="1" tint="4.9989318521683403E-2"/>
      </left>
      <right style="thin">
        <color theme="1" tint="4.9989318521683403E-2"/>
      </right>
      <top style="thin">
        <color theme="5" tint="-0.499984740745262"/>
      </top>
      <bottom style="thin">
        <color theme="1" tint="4.9989318521683403E-2"/>
      </bottom>
      <diagonal/>
    </border>
    <border>
      <left style="thin">
        <color theme="1" tint="4.9989318521683403E-2"/>
      </left>
      <right style="thin">
        <color theme="1" tint="4.9989318521683403E-2"/>
      </right>
      <top/>
      <bottom style="thin">
        <color theme="5" tint="-0.499984740745262"/>
      </bottom>
      <diagonal/>
    </border>
    <border>
      <left/>
      <right style="thin">
        <color theme="1" tint="4.9989318521683403E-2"/>
      </right>
      <top style="thin">
        <color theme="5" tint="-0.499984740745262"/>
      </top>
      <bottom/>
      <diagonal/>
    </border>
    <border>
      <left/>
      <right style="thin">
        <color theme="1" tint="4.9989318521683403E-2"/>
      </right>
      <top style="thin">
        <color theme="1" tint="4.9989318521683403E-2"/>
      </top>
      <bottom style="thin">
        <color theme="5" tint="-0.499984740745262"/>
      </bottom>
      <diagonal/>
    </border>
    <border>
      <left/>
      <right style="thin">
        <color theme="1" tint="4.9989318521683403E-2"/>
      </right>
      <top style="thin">
        <color theme="5" tint="-0.499984740745262"/>
      </top>
      <bottom style="thin">
        <color theme="1" tint="4.9989318521683403E-2"/>
      </bottom>
      <diagonal/>
    </border>
    <border>
      <left/>
      <right style="thin">
        <color theme="1" tint="4.9989318521683403E-2"/>
      </right>
      <top/>
      <bottom style="thin">
        <color theme="5" tint="-0.499984740745262"/>
      </bottom>
      <diagonal/>
    </border>
    <border>
      <left/>
      <right style="thin">
        <color theme="1" tint="4.9989318521683403E-2"/>
      </right>
      <top/>
      <bottom/>
      <diagonal/>
    </border>
    <border>
      <left style="thin">
        <color theme="1" tint="4.9989318521683403E-2"/>
      </left>
      <right style="thin">
        <color theme="1" tint="4.9989318521683403E-2"/>
      </right>
      <top/>
      <bottom/>
      <diagonal/>
    </border>
    <border>
      <left/>
      <right/>
      <top/>
      <bottom style="thin">
        <color theme="1" tint="4.9989318521683403E-2"/>
      </bottom>
      <diagonal/>
    </border>
    <border>
      <left/>
      <right/>
      <top style="thin">
        <color theme="5" tint="-0.499984740745262"/>
      </top>
      <bottom style="thin">
        <color theme="5" tint="-0.499984740745262"/>
      </bottom>
      <diagonal/>
    </border>
    <border>
      <left/>
      <right/>
      <top style="thin">
        <color theme="5" tint="-0.499984740745262"/>
      </top>
      <bottom style="thin">
        <color theme="1" tint="4.9989318521683403E-2"/>
      </bottom>
      <diagonal/>
    </border>
    <border>
      <left style="thin">
        <color theme="1" tint="4.9989318521683403E-2"/>
      </left>
      <right style="thin">
        <color theme="5" tint="-0.499984740745262"/>
      </right>
      <top/>
      <bottom/>
      <diagonal/>
    </border>
    <border>
      <left style="thin">
        <color theme="5" tint="-0.499984740745262"/>
      </left>
      <right style="thin">
        <color theme="1" tint="4.9989318521683403E-2"/>
      </right>
      <top/>
      <bottom/>
      <diagonal/>
    </border>
    <border>
      <left style="thin">
        <color theme="5" tint="-0.499984740745262"/>
      </left>
      <right style="thin">
        <color theme="1" tint="4.9989318521683403E-2"/>
      </right>
      <top style="thin">
        <color theme="5" tint="-0.499984740745262"/>
      </top>
      <bottom/>
      <diagonal/>
    </border>
    <border>
      <left/>
      <right/>
      <top/>
      <bottom style="medium">
        <color theme="1"/>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thin">
        <color theme="1" tint="4.9989318521683403E-2"/>
      </right>
      <top style="medium">
        <color theme="1"/>
      </top>
      <bottom style="thin">
        <color theme="1" tint="4.9989318521683403E-2"/>
      </bottom>
      <diagonal/>
    </border>
    <border>
      <left style="thin">
        <color theme="1" tint="4.9989318521683403E-2"/>
      </left>
      <right style="thin">
        <color theme="1" tint="4.9989318521683403E-2"/>
      </right>
      <top style="medium">
        <color theme="1"/>
      </top>
      <bottom/>
      <diagonal/>
    </border>
    <border>
      <left style="thin">
        <color theme="1" tint="4.9989318521683403E-2"/>
      </left>
      <right style="thin">
        <color theme="1" tint="4.9989318521683403E-2"/>
      </right>
      <top style="medium">
        <color theme="1"/>
      </top>
      <bottom style="thin">
        <color theme="1" tint="4.9989318521683403E-2"/>
      </bottom>
      <diagonal/>
    </border>
    <border>
      <left style="thin">
        <color theme="1" tint="4.9989318521683403E-2"/>
      </left>
      <right style="medium">
        <color theme="1"/>
      </right>
      <top style="medium">
        <color theme="1"/>
      </top>
      <bottom style="thin">
        <color theme="1" tint="4.9989318521683403E-2"/>
      </bottom>
      <diagonal/>
    </border>
    <border>
      <left style="medium">
        <color theme="1"/>
      </left>
      <right/>
      <top/>
      <bottom style="medium">
        <color theme="1"/>
      </bottom>
      <diagonal/>
    </border>
    <border>
      <left/>
      <right style="thin">
        <color theme="1" tint="4.9989318521683403E-2"/>
      </right>
      <top/>
      <bottom style="medium">
        <color theme="1"/>
      </bottom>
      <diagonal/>
    </border>
    <border>
      <left style="thin">
        <color theme="1" tint="4.9989318521683403E-2"/>
      </left>
      <right style="thin">
        <color theme="1" tint="4.9989318521683403E-2"/>
      </right>
      <top/>
      <bottom style="medium">
        <color theme="1"/>
      </bottom>
      <diagonal/>
    </border>
    <border>
      <left style="thin">
        <color theme="1" tint="4.9989318521683403E-2"/>
      </left>
      <right/>
      <top/>
      <bottom style="medium">
        <color theme="1"/>
      </bottom>
      <diagonal/>
    </border>
    <border>
      <left/>
      <right style="medium">
        <color theme="1"/>
      </right>
      <top/>
      <bottom style="medium">
        <color theme="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rgb="FF880826"/>
      </left>
      <right/>
      <top style="medium">
        <color rgb="FF880826"/>
      </top>
      <bottom/>
      <diagonal/>
    </border>
    <border>
      <left/>
      <right/>
      <top style="medium">
        <color rgb="FF880826"/>
      </top>
      <bottom/>
      <diagonal/>
    </border>
    <border>
      <left/>
      <right style="medium">
        <color rgb="FF880826"/>
      </right>
      <top style="medium">
        <color rgb="FF880826"/>
      </top>
      <bottom/>
      <diagonal/>
    </border>
    <border>
      <left style="medium">
        <color rgb="FF880826"/>
      </left>
      <right/>
      <top/>
      <bottom/>
      <diagonal/>
    </border>
    <border>
      <left/>
      <right style="medium">
        <color rgb="FF880826"/>
      </right>
      <top/>
      <bottom/>
      <diagonal/>
    </border>
    <border>
      <left style="medium">
        <color rgb="FF880826"/>
      </left>
      <right/>
      <top/>
      <bottom style="medium">
        <color rgb="FF880826"/>
      </bottom>
      <diagonal/>
    </border>
    <border>
      <left/>
      <right/>
      <top/>
      <bottom style="medium">
        <color rgb="FF880826"/>
      </bottom>
      <diagonal/>
    </border>
    <border>
      <left/>
      <right style="medium">
        <color rgb="FF880826"/>
      </right>
      <top/>
      <bottom style="medium">
        <color rgb="FF880826"/>
      </bottom>
      <diagonal/>
    </border>
    <border>
      <left style="thin">
        <color theme="5" tint="-0.499984740745262"/>
      </left>
      <right style="thin">
        <color indexed="64"/>
      </right>
      <top style="thin">
        <color indexed="64"/>
      </top>
      <bottom style="thin">
        <color indexed="64"/>
      </bottom>
      <diagonal/>
    </border>
    <border>
      <left style="thin">
        <color theme="5" tint="-0.499984740745262"/>
      </left>
      <right style="thin">
        <color indexed="64"/>
      </right>
      <top style="thin">
        <color theme="5" tint="-0.499984740745262"/>
      </top>
      <bottom style="thin">
        <color indexed="64"/>
      </bottom>
      <diagonal/>
    </border>
    <border>
      <left style="thin">
        <color indexed="64"/>
      </left>
      <right style="thin">
        <color indexed="64"/>
      </right>
      <top style="thin">
        <color theme="5" tint="-0.499984740745262"/>
      </top>
      <bottom style="thin">
        <color indexed="64"/>
      </bottom>
      <diagonal/>
    </border>
    <border>
      <left style="thin">
        <color indexed="64"/>
      </left>
      <right style="thin">
        <color theme="5" tint="-0.499984740745262"/>
      </right>
      <top style="thin">
        <color theme="5" tint="-0.499984740745262"/>
      </top>
      <bottom style="thin">
        <color indexed="64"/>
      </bottom>
      <diagonal/>
    </border>
    <border>
      <left style="thin">
        <color indexed="64"/>
      </left>
      <right style="thin">
        <color theme="5" tint="-0.499984740745262"/>
      </right>
      <top style="thin">
        <color indexed="64"/>
      </top>
      <bottom style="thin">
        <color indexed="64"/>
      </bottom>
      <diagonal/>
    </border>
    <border>
      <left style="thin">
        <color theme="5" tint="-0.499984740745262"/>
      </left>
      <right style="thin">
        <color indexed="64"/>
      </right>
      <top style="thin">
        <color indexed="64"/>
      </top>
      <bottom style="thin">
        <color theme="5" tint="-0.499984740745262"/>
      </bottom>
      <diagonal/>
    </border>
    <border>
      <left style="thin">
        <color indexed="64"/>
      </left>
      <right style="thin">
        <color indexed="64"/>
      </right>
      <top style="thin">
        <color indexed="64"/>
      </top>
      <bottom style="thin">
        <color theme="5" tint="-0.499984740745262"/>
      </bottom>
      <diagonal/>
    </border>
    <border>
      <left style="thin">
        <color indexed="64"/>
      </left>
      <right style="thin">
        <color theme="5" tint="-0.499984740745262"/>
      </right>
      <top style="thin">
        <color indexed="64"/>
      </top>
      <bottom style="thin">
        <color theme="5" tint="-0.499984740745262"/>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4" fillId="0" borderId="0"/>
  </cellStyleXfs>
  <cellXfs count="257">
    <xf numFmtId="0" fontId="0" fillId="0" borderId="0" xfId="0"/>
    <xf numFmtId="9" fontId="0" fillId="0" borderId="0" xfId="1" applyFont="1"/>
    <xf numFmtId="0" fontId="16" fillId="0" borderId="0" xfId="0" applyFont="1"/>
    <xf numFmtId="0" fontId="13" fillId="33" borderId="10" xfId="0" applyFont="1" applyFill="1" applyBorder="1"/>
    <xf numFmtId="0" fontId="0" fillId="34" borderId="10" xfId="0" applyFill="1" applyBorder="1"/>
    <xf numFmtId="0" fontId="0" fillId="34" borderId="12" xfId="0" applyFill="1" applyBorder="1"/>
    <xf numFmtId="0" fontId="0" fillId="0" borderId="12" xfId="0" applyBorder="1"/>
    <xf numFmtId="0" fontId="13" fillId="33" borderId="0" xfId="0" applyFont="1" applyFill="1"/>
    <xf numFmtId="0" fontId="0" fillId="35" borderId="0" xfId="0" applyFill="1"/>
    <xf numFmtId="0" fontId="0" fillId="36" borderId="0" xfId="0" applyFill="1"/>
    <xf numFmtId="0" fontId="0" fillId="37" borderId="10" xfId="0" applyFill="1" applyBorder="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0" borderId="0" xfId="0" applyAlignment="1">
      <alignment horizontal="center" vertical="center"/>
    </xf>
    <xf numFmtId="0" fontId="0" fillId="36" borderId="14" xfId="0" applyFill="1" applyBorder="1" applyAlignment="1">
      <alignment horizontal="center" vertical="center"/>
    </xf>
    <xf numFmtId="0" fontId="23" fillId="36" borderId="14" xfId="0" applyFont="1" applyFill="1" applyBorder="1" applyAlignment="1">
      <alignment horizontal="center" vertical="center"/>
    </xf>
    <xf numFmtId="0" fontId="0" fillId="49" borderId="16" xfId="0" applyFill="1" applyBorder="1" applyAlignment="1">
      <alignment horizontal="center"/>
    </xf>
    <xf numFmtId="0" fontId="16" fillId="36" borderId="15" xfId="0" applyFont="1" applyFill="1" applyBorder="1" applyAlignment="1">
      <alignment horizontal="center" vertical="center"/>
    </xf>
    <xf numFmtId="0" fontId="0" fillId="0" borderId="14" xfId="0" applyBorder="1" applyAlignment="1">
      <alignment horizontal="center" vertical="center"/>
    </xf>
    <xf numFmtId="9" fontId="0" fillId="0" borderId="14" xfId="1" applyFont="1" applyBorder="1" applyAlignment="1">
      <alignment horizontal="center" vertical="center"/>
    </xf>
    <xf numFmtId="0" fontId="23" fillId="0" borderId="14" xfId="0" applyFont="1" applyBorder="1" applyAlignment="1">
      <alignment horizontal="center" vertical="center"/>
    </xf>
    <xf numFmtId="0" fontId="16" fillId="0" borderId="14" xfId="0" applyFont="1" applyBorder="1" applyAlignment="1">
      <alignment horizontal="center" vertical="center"/>
    </xf>
    <xf numFmtId="9" fontId="16" fillId="0" borderId="14" xfId="0" applyNumberFormat="1" applyFont="1" applyBorder="1" applyAlignment="1">
      <alignment horizontal="center" vertical="center"/>
    </xf>
    <xf numFmtId="0" fontId="16" fillId="0" borderId="21" xfId="0" applyFont="1" applyBorder="1"/>
    <xf numFmtId="0" fontId="0" fillId="0" borderId="21" xfId="0" applyBorder="1"/>
    <xf numFmtId="0" fontId="0" fillId="0" borderId="22" xfId="0" applyBorder="1"/>
    <xf numFmtId="0" fontId="0" fillId="0" borderId="25" xfId="0" applyBorder="1"/>
    <xf numFmtId="0" fontId="0" fillId="0" borderId="25"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11" xfId="0" applyBorder="1" applyAlignment="1">
      <alignment horizontal="center" vertical="center"/>
    </xf>
    <xf numFmtId="9" fontId="0" fillId="0" borderId="25" xfId="1" applyFont="1" applyBorder="1" applyAlignment="1">
      <alignment horizontal="center" vertical="center"/>
    </xf>
    <xf numFmtId="0" fontId="0" fillId="49" borderId="25" xfId="0" applyFill="1" applyBorder="1" applyAlignment="1">
      <alignment horizontal="center" vertical="center"/>
    </xf>
    <xf numFmtId="0" fontId="0" fillId="49" borderId="31" xfId="0" applyFill="1" applyBorder="1" applyAlignment="1">
      <alignment horizontal="center" vertical="center"/>
    </xf>
    <xf numFmtId="0" fontId="0" fillId="49" borderId="30" xfId="0" applyFill="1" applyBorder="1" applyAlignment="1">
      <alignment horizontal="center" vertical="center"/>
    </xf>
    <xf numFmtId="0" fontId="0" fillId="36" borderId="27" xfId="0" applyFill="1" applyBorder="1" applyAlignment="1">
      <alignment horizontal="center" vertical="center"/>
    </xf>
    <xf numFmtId="0" fontId="0" fillId="36" borderId="33" xfId="0" applyFill="1" applyBorder="1" applyAlignment="1">
      <alignment horizontal="center" vertical="center"/>
    </xf>
    <xf numFmtId="0" fontId="22" fillId="51" borderId="0" xfId="0" applyFont="1" applyFill="1" applyAlignment="1">
      <alignment horizontal="left" vertical="top" wrapText="1"/>
    </xf>
    <xf numFmtId="0" fontId="16" fillId="49" borderId="25" xfId="0" applyFont="1" applyFill="1" applyBorder="1"/>
    <xf numFmtId="0" fontId="24" fillId="49" borderId="25" xfId="0" applyFont="1" applyFill="1" applyBorder="1"/>
    <xf numFmtId="9" fontId="0" fillId="0" borderId="25" xfId="1" applyFont="1" applyBorder="1"/>
    <xf numFmtId="0" fontId="0" fillId="51" borderId="0" xfId="0" applyFill="1"/>
    <xf numFmtId="0" fontId="21" fillId="0" borderId="0" xfId="0" applyFont="1" applyAlignment="1">
      <alignment horizontal="center"/>
    </xf>
    <xf numFmtId="0" fontId="25" fillId="0" borderId="0" xfId="0" applyFont="1" applyAlignment="1">
      <alignment horizontal="center" vertical="center" textRotation="90" wrapText="1"/>
    </xf>
    <xf numFmtId="0" fontId="21" fillId="0" borderId="0" xfId="0" applyFont="1"/>
    <xf numFmtId="0" fontId="21" fillId="54" borderId="25" xfId="0" applyFont="1" applyFill="1" applyBorder="1"/>
    <xf numFmtId="0" fontId="26" fillId="49" borderId="25" xfId="0" applyFont="1" applyFill="1" applyBorder="1" applyAlignment="1">
      <alignment horizontal="center"/>
    </xf>
    <xf numFmtId="0" fontId="13" fillId="54" borderId="25" xfId="0" applyFont="1" applyFill="1" applyBorder="1"/>
    <xf numFmtId="0" fontId="16" fillId="35" borderId="25" xfId="0" applyFont="1" applyFill="1" applyBorder="1" applyAlignment="1">
      <alignment wrapText="1"/>
    </xf>
    <xf numFmtId="0" fontId="16" fillId="35" borderId="25" xfId="0" applyFont="1" applyFill="1" applyBorder="1"/>
    <xf numFmtId="0" fontId="0" fillId="43" borderId="25" xfId="0" applyFill="1" applyBorder="1" applyAlignment="1">
      <alignment horizontal="center" vertical="center"/>
    </xf>
    <xf numFmtId="0" fontId="13" fillId="52" borderId="0" xfId="0" applyFont="1" applyFill="1" applyAlignment="1">
      <alignment horizontal="center" vertical="center"/>
    </xf>
    <xf numFmtId="0" fontId="13" fillId="55" borderId="0" xfId="0" applyFont="1" applyFill="1" applyAlignment="1">
      <alignment horizontal="center"/>
    </xf>
    <xf numFmtId="0" fontId="0" fillId="53" borderId="25" xfId="0" applyFill="1" applyBorder="1" applyAlignment="1">
      <alignment horizontal="left" vertical="center"/>
    </xf>
    <xf numFmtId="0" fontId="0" fillId="53" borderId="25" xfId="0" applyFill="1" applyBorder="1" applyAlignment="1">
      <alignment horizontal="left" vertical="top"/>
    </xf>
    <xf numFmtId="0" fontId="0" fillId="0" borderId="0" xfId="0" applyAlignment="1">
      <alignment vertical="top" wrapText="1"/>
    </xf>
    <xf numFmtId="0" fontId="22" fillId="0" borderId="0" xfId="0" applyFont="1" applyAlignment="1">
      <alignment vertical="top" wrapText="1"/>
    </xf>
    <xf numFmtId="10" fontId="0" fillId="0" borderId="0" xfId="1" applyNumberFormat="1" applyFont="1"/>
    <xf numFmtId="0" fontId="0" fillId="0" borderId="56" xfId="0" applyBorder="1" applyAlignment="1">
      <alignment horizontal="center" vertical="center"/>
    </xf>
    <xf numFmtId="0" fontId="0" fillId="0" borderId="61" xfId="0" applyBorder="1" applyAlignment="1">
      <alignment horizontal="center" vertical="center"/>
    </xf>
    <xf numFmtId="0" fontId="0" fillId="0" borderId="60" xfId="0" applyBorder="1" applyAlignment="1">
      <alignment horizontal="center" vertical="center"/>
    </xf>
    <xf numFmtId="0" fontId="0" fillId="0" borderId="65" xfId="0" applyBorder="1" applyAlignment="1">
      <alignment horizontal="center" vertical="center"/>
    </xf>
    <xf numFmtId="0" fontId="0" fillId="0" borderId="28" xfId="0" applyBorder="1" applyAlignment="1">
      <alignment horizontal="center" vertical="center"/>
    </xf>
    <xf numFmtId="0" fontId="0" fillId="0" borderId="66" xfId="0" applyBorder="1" applyAlignment="1">
      <alignment horizontal="center" vertical="center"/>
    </xf>
    <xf numFmtId="0" fontId="0" fillId="0" borderId="24" xfId="0" applyBorder="1" applyAlignment="1">
      <alignment horizontal="center" vertical="center"/>
    </xf>
    <xf numFmtId="0" fontId="0" fillId="0" borderId="45" xfId="0" applyBorder="1" applyAlignment="1">
      <alignment horizontal="center" vertical="center"/>
    </xf>
    <xf numFmtId="0" fontId="0" fillId="0" borderId="47" xfId="0" applyBorder="1" applyAlignment="1">
      <alignment horizontal="center" vertical="center"/>
    </xf>
    <xf numFmtId="0" fontId="0" fillId="0" borderId="57" xfId="0" applyBorder="1" applyAlignment="1">
      <alignment horizontal="center" vertical="center"/>
    </xf>
    <xf numFmtId="0" fontId="0" fillId="0" borderId="52" xfId="0" applyBorder="1" applyAlignment="1">
      <alignment horizontal="center" vertical="center"/>
    </xf>
    <xf numFmtId="0" fontId="0" fillId="0" borderId="46" xfId="0" applyBorder="1" applyAlignment="1">
      <alignment horizontal="center" vertical="center"/>
    </xf>
    <xf numFmtId="0" fontId="0" fillId="0" borderId="63"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50" xfId="0" applyBorder="1" applyAlignment="1">
      <alignment horizontal="center" vertical="center"/>
    </xf>
    <xf numFmtId="0" fontId="0" fillId="0" borderId="53" xfId="0" applyBorder="1" applyAlignment="1">
      <alignment horizontal="center" vertical="center"/>
    </xf>
    <xf numFmtId="0" fontId="0" fillId="0" borderId="23" xfId="0" applyBorder="1" applyAlignment="1">
      <alignment horizontal="center" vertical="center"/>
    </xf>
    <xf numFmtId="0" fontId="0" fillId="0" borderId="58" xfId="0" applyBorder="1" applyAlignment="1">
      <alignment horizontal="center" vertical="center"/>
    </xf>
    <xf numFmtId="0" fontId="0" fillId="0" borderId="54"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64" xfId="0" applyBorder="1" applyAlignment="1">
      <alignment horizontal="center" vertical="center"/>
    </xf>
    <xf numFmtId="0" fontId="0" fillId="0" borderId="59" xfId="0" applyBorder="1" applyAlignment="1">
      <alignment horizontal="center" vertical="center"/>
    </xf>
    <xf numFmtId="0" fontId="0" fillId="0" borderId="55" xfId="0" applyBorder="1" applyAlignment="1">
      <alignment horizontal="center" vertical="center"/>
    </xf>
    <xf numFmtId="0" fontId="0" fillId="0" borderId="48" xfId="0" applyBorder="1" applyAlignment="1">
      <alignment horizontal="center" vertical="center"/>
    </xf>
    <xf numFmtId="0" fontId="0" fillId="0" borderId="29" xfId="0" applyBorder="1" applyAlignment="1">
      <alignment horizontal="center" vertical="center"/>
    </xf>
    <xf numFmtId="0" fontId="0" fillId="0" borderId="49" xfId="0" applyBorder="1" applyAlignment="1">
      <alignment horizontal="center" vertical="center"/>
    </xf>
    <xf numFmtId="0" fontId="0" fillId="0" borderId="51" xfId="0" applyBorder="1" applyAlignment="1">
      <alignment horizontal="center" vertical="center"/>
    </xf>
    <xf numFmtId="0" fontId="0" fillId="0" borderId="44" xfId="0" applyBorder="1" applyAlignment="1">
      <alignment horizontal="center" vertical="center"/>
    </xf>
    <xf numFmtId="0" fontId="0" fillId="0" borderId="26" xfId="0" applyBorder="1" applyAlignment="1">
      <alignment horizontal="center" vertical="center"/>
    </xf>
    <xf numFmtId="0" fontId="0" fillId="0" borderId="67" xfId="0" applyBorder="1" applyAlignment="1">
      <alignment horizontal="center" vertical="center"/>
    </xf>
    <xf numFmtId="0" fontId="0" fillId="0" borderId="22" xfId="0" applyBorder="1" applyAlignment="1">
      <alignment horizontal="center" vertical="center"/>
    </xf>
    <xf numFmtId="0" fontId="27" fillId="43" borderId="38" xfId="0" applyFont="1" applyFill="1" applyBorder="1" applyAlignment="1">
      <alignment horizontal="center" vertical="center"/>
    </xf>
    <xf numFmtId="0" fontId="0" fillId="36" borderId="56" xfId="0" applyFill="1" applyBorder="1" applyAlignment="1">
      <alignment horizontal="left" vertical="center"/>
    </xf>
    <xf numFmtId="0" fontId="0" fillId="36" borderId="57" xfId="0" applyFill="1" applyBorder="1" applyAlignment="1">
      <alignment horizontal="left" vertical="center"/>
    </xf>
    <xf numFmtId="0" fontId="0" fillId="36" borderId="50" xfId="0" applyFill="1" applyBorder="1" applyAlignment="1">
      <alignment horizontal="left" vertical="center"/>
    </xf>
    <xf numFmtId="0" fontId="0" fillId="36" borderId="58" xfId="0" applyFill="1" applyBorder="1" applyAlignment="1">
      <alignment horizontal="left" vertical="center"/>
    </xf>
    <xf numFmtId="0" fontId="0" fillId="36" borderId="59" xfId="0" applyFill="1" applyBorder="1" applyAlignment="1">
      <alignment horizontal="left" vertical="center"/>
    </xf>
    <xf numFmtId="0" fontId="0" fillId="36" borderId="60" xfId="0" applyFill="1" applyBorder="1" applyAlignment="1">
      <alignment horizontal="left" vertical="center"/>
    </xf>
    <xf numFmtId="0" fontId="0" fillId="0" borderId="68" xfId="0" applyBorder="1"/>
    <xf numFmtId="0" fontId="29" fillId="43" borderId="69" xfId="0" applyFont="1" applyFill="1" applyBorder="1" applyAlignment="1">
      <alignment vertical="top" wrapText="1"/>
    </xf>
    <xf numFmtId="0" fontId="0" fillId="43" borderId="70" xfId="0" applyFill="1" applyBorder="1" applyAlignment="1">
      <alignment vertical="center"/>
    </xf>
    <xf numFmtId="0" fontId="16" fillId="43" borderId="69" xfId="0" applyFont="1" applyFill="1" applyBorder="1" applyAlignment="1">
      <alignment horizontal="center" vertical="center"/>
    </xf>
    <xf numFmtId="0" fontId="0" fillId="0" borderId="69" xfId="0" applyBorder="1" applyAlignment="1">
      <alignment horizontal="center"/>
    </xf>
    <xf numFmtId="10" fontId="0" fillId="0" borderId="69" xfId="1" applyNumberFormat="1" applyFont="1" applyBorder="1" applyAlignment="1">
      <alignment horizontal="center"/>
    </xf>
    <xf numFmtId="0" fontId="28" fillId="0" borderId="69" xfId="0" applyFont="1" applyBorder="1" applyAlignment="1">
      <alignment horizontal="center" vertical="center"/>
    </xf>
    <xf numFmtId="0" fontId="13" fillId="54" borderId="71" xfId="0" applyFont="1" applyFill="1" applyBorder="1" applyAlignment="1">
      <alignment horizontal="center" vertical="center"/>
    </xf>
    <xf numFmtId="0" fontId="13" fillId="54" borderId="72" xfId="0" applyFont="1" applyFill="1" applyBorder="1" applyAlignment="1">
      <alignment horizontal="center" vertical="center"/>
    </xf>
    <xf numFmtId="0" fontId="13" fillId="54" borderId="73" xfId="0" applyFont="1" applyFill="1" applyBorder="1" applyAlignment="1">
      <alignment horizontal="center" vertical="center"/>
    </xf>
    <xf numFmtId="0" fontId="13" fillId="54" borderId="74" xfId="0" applyFont="1" applyFill="1" applyBorder="1" applyAlignment="1">
      <alignment horizontal="center" vertical="center"/>
    </xf>
    <xf numFmtId="0" fontId="25" fillId="50" borderId="75" xfId="0" applyFont="1" applyFill="1" applyBorder="1" applyAlignment="1">
      <alignment horizontal="center" vertical="center"/>
    </xf>
    <xf numFmtId="10" fontId="28" fillId="0" borderId="76" xfId="1" applyNumberFormat="1" applyFont="1" applyBorder="1" applyAlignment="1">
      <alignment horizontal="center" vertical="center"/>
    </xf>
    <xf numFmtId="10" fontId="28" fillId="0" borderId="77" xfId="1" applyNumberFormat="1" applyFont="1" applyBorder="1" applyAlignment="1">
      <alignment horizontal="center" vertical="center"/>
    </xf>
    <xf numFmtId="10" fontId="28" fillId="0" borderId="68" xfId="1" applyNumberFormat="1" applyFont="1" applyBorder="1" applyAlignment="1">
      <alignment horizontal="center" vertical="center"/>
    </xf>
    <xf numFmtId="10" fontId="28" fillId="0" borderId="78" xfId="1" applyNumberFormat="1" applyFont="1" applyBorder="1" applyAlignment="1">
      <alignment horizontal="center" vertical="center"/>
    </xf>
    <xf numFmtId="10" fontId="28" fillId="0" borderId="79" xfId="1" applyNumberFormat="1" applyFont="1" applyBorder="1" applyAlignment="1">
      <alignment horizontal="center" vertical="center"/>
    </xf>
    <xf numFmtId="164" fontId="0" fillId="0" borderId="0" xfId="1" applyNumberFormat="1" applyFont="1"/>
    <xf numFmtId="0" fontId="0" fillId="0" borderId="0" xfId="0" applyAlignment="1">
      <alignment horizontal="center"/>
    </xf>
    <xf numFmtId="0" fontId="13" fillId="57" borderId="0" xfId="0" applyFont="1" applyFill="1" applyAlignment="1">
      <alignment horizontal="center"/>
    </xf>
    <xf numFmtId="0" fontId="16" fillId="53" borderId="14" xfId="0" applyFont="1" applyFill="1" applyBorder="1"/>
    <xf numFmtId="0" fontId="16" fillId="49" borderId="14" xfId="0" applyFont="1" applyFill="1" applyBorder="1"/>
    <xf numFmtId="0" fontId="16" fillId="49" borderId="80" xfId="0" applyFont="1" applyFill="1" applyBorder="1"/>
    <xf numFmtId="0" fontId="16" fillId="53" borderId="81" xfId="0" applyFont="1" applyFill="1" applyBorder="1"/>
    <xf numFmtId="0" fontId="13" fillId="0" borderId="0" xfId="0" applyFont="1" applyAlignment="1">
      <alignment horizontal="center"/>
    </xf>
    <xf numFmtId="0" fontId="0" fillId="0" borderId="80" xfId="0" applyBorder="1" applyAlignment="1">
      <alignment horizontal="center" vertical="center"/>
    </xf>
    <xf numFmtId="0" fontId="16" fillId="0" borderId="14" xfId="0" applyFont="1" applyBorder="1" applyAlignment="1">
      <alignment horizontal="center" vertical="center" wrapText="1"/>
    </xf>
    <xf numFmtId="0" fontId="16" fillId="0" borderId="14" xfId="0" applyFont="1" applyBorder="1" applyAlignment="1">
      <alignment horizontal="left" vertical="top" wrapText="1"/>
    </xf>
    <xf numFmtId="164" fontId="16" fillId="0" borderId="14" xfId="1" applyNumberFormat="1" applyFont="1" applyBorder="1" applyAlignment="1">
      <alignment horizontal="center" vertical="center"/>
    </xf>
    <xf numFmtId="164" fontId="0" fillId="0" borderId="14" xfId="1" applyNumberFormat="1" applyFont="1" applyBorder="1"/>
    <xf numFmtId="164" fontId="0" fillId="0" borderId="0" xfId="1" applyNumberFormat="1" applyFont="1" applyAlignment="1">
      <alignment wrapText="1"/>
    </xf>
    <xf numFmtId="0" fontId="16" fillId="0" borderId="14" xfId="0" applyFont="1" applyBorder="1" applyAlignment="1">
      <alignment horizontal="center" wrapText="1"/>
    </xf>
    <xf numFmtId="0" fontId="16" fillId="0" borderId="14" xfId="0" applyFont="1" applyBorder="1" applyAlignment="1">
      <alignment horizontal="left" wrapText="1"/>
    </xf>
    <xf numFmtId="10" fontId="0" fillId="0" borderId="0" xfId="0" applyNumberFormat="1"/>
    <xf numFmtId="0" fontId="31" fillId="0" borderId="0" xfId="0" applyFont="1" applyAlignment="1">
      <alignment horizontal="center" vertical="center"/>
    </xf>
    <xf numFmtId="0" fontId="16" fillId="0" borderId="0" xfId="0" applyFont="1" applyAlignment="1">
      <alignment horizontal="center" vertical="top"/>
    </xf>
    <xf numFmtId="0" fontId="35" fillId="0" borderId="0" xfId="43" applyFont="1"/>
    <xf numFmtId="0" fontId="36" fillId="0" borderId="0" xfId="0" applyFont="1"/>
    <xf numFmtId="0" fontId="35" fillId="0" borderId="13" xfId="43" applyFont="1" applyBorder="1" applyAlignment="1">
      <alignment vertical="center"/>
    </xf>
    <xf numFmtId="0" fontId="35" fillId="0" borderId="0" xfId="43" applyFont="1" applyAlignment="1">
      <alignment vertical="center"/>
    </xf>
    <xf numFmtId="0" fontId="35" fillId="0" borderId="0" xfId="43" applyFont="1" applyAlignment="1">
      <alignment horizontal="right"/>
    </xf>
    <xf numFmtId="165" fontId="35" fillId="59" borderId="14" xfId="43" applyNumberFormat="1" applyFont="1" applyFill="1" applyBorder="1" applyAlignment="1">
      <alignment horizontal="left" vertical="center"/>
    </xf>
    <xf numFmtId="165" fontId="35" fillId="59" borderId="14" xfId="43" applyNumberFormat="1" applyFont="1" applyFill="1" applyBorder="1" applyAlignment="1">
      <alignment horizontal="right" vertical="center"/>
    </xf>
    <xf numFmtId="165" fontId="35" fillId="0" borderId="14" xfId="43" quotePrefix="1" applyNumberFormat="1" applyFont="1" applyBorder="1" applyAlignment="1">
      <alignment horizontal="left" vertical="center"/>
    </xf>
    <xf numFmtId="4" fontId="36" fillId="0" borderId="14" xfId="0" applyNumberFormat="1" applyFont="1" applyBorder="1" applyAlignment="1">
      <alignment horizontal="right" vertical="center"/>
    </xf>
    <xf numFmtId="4" fontId="37" fillId="0" borderId="14" xfId="0" applyNumberFormat="1" applyFont="1" applyBorder="1" applyAlignment="1">
      <alignment horizontal="right" vertical="center"/>
    </xf>
    <xf numFmtId="49" fontId="37" fillId="0" borderId="14" xfId="0" applyNumberFormat="1" applyFont="1" applyBorder="1" applyAlignment="1">
      <alignment horizontal="right" vertical="center"/>
    </xf>
    <xf numFmtId="165" fontId="35" fillId="0" borderId="14" xfId="43" applyNumberFormat="1" applyFont="1" applyBorder="1" applyAlignment="1">
      <alignment horizontal="left" vertical="center"/>
    </xf>
    <xf numFmtId="0" fontId="35" fillId="0" borderId="0" xfId="0" applyFont="1" applyAlignment="1">
      <alignment wrapText="1"/>
    </xf>
    <xf numFmtId="0" fontId="38" fillId="0" borderId="0" xfId="0" applyFont="1"/>
    <xf numFmtId="0" fontId="39" fillId="0" borderId="0" xfId="0" applyFont="1"/>
    <xf numFmtId="4" fontId="36" fillId="36" borderId="14" xfId="0" applyNumberFormat="1" applyFont="1" applyFill="1" applyBorder="1" applyAlignment="1">
      <alignment horizontal="right" vertical="center"/>
    </xf>
    <xf numFmtId="0" fontId="0" fillId="46" borderId="0" xfId="0" applyFill="1" applyAlignment="1">
      <alignment horizontal="center"/>
    </xf>
    <xf numFmtId="0" fontId="0" fillId="39" borderId="0" xfId="0" applyFill="1" applyAlignment="1">
      <alignment horizontal="center"/>
    </xf>
    <xf numFmtId="0" fontId="0" fillId="47" borderId="0" xfId="0" applyFill="1" applyAlignment="1">
      <alignment horizontal="center"/>
    </xf>
    <xf numFmtId="0" fontId="0" fillId="40" borderId="0" xfId="0" applyFill="1" applyAlignment="1">
      <alignment horizontal="center"/>
    </xf>
    <xf numFmtId="9" fontId="0" fillId="0" borderId="0" xfId="1" applyFont="1" applyAlignment="1">
      <alignment horizontal="center"/>
    </xf>
    <xf numFmtId="9" fontId="0" fillId="0" borderId="0" xfId="1" applyFont="1" applyAlignment="1">
      <alignment horizontal="center" vertical="center"/>
    </xf>
    <xf numFmtId="0" fontId="0" fillId="0" borderId="0" xfId="0" applyAlignment="1">
      <alignment horizontal="left"/>
    </xf>
    <xf numFmtId="0" fontId="29" fillId="0" borderId="0" xfId="0" applyFont="1" applyAlignment="1">
      <alignment horizontal="left" vertical="top" wrapText="1"/>
    </xf>
    <xf numFmtId="0" fontId="18" fillId="0" borderId="0" xfId="0" applyFont="1" applyAlignment="1">
      <alignment horizontal="center"/>
    </xf>
    <xf numFmtId="0" fontId="45" fillId="64" borderId="0" xfId="0" applyFont="1" applyFill="1"/>
    <xf numFmtId="0" fontId="48" fillId="0" borderId="21" xfId="0" applyFont="1" applyBorder="1"/>
    <xf numFmtId="0" fontId="43" fillId="0" borderId="0" xfId="0" applyFont="1" applyAlignment="1">
      <alignment horizontal="center" vertical="center"/>
    </xf>
    <xf numFmtId="0" fontId="0" fillId="38" borderId="11" xfId="0" applyFill="1" applyBorder="1"/>
    <xf numFmtId="0" fontId="0" fillId="43" borderId="23" xfId="0" applyFill="1" applyBorder="1"/>
    <xf numFmtId="0" fontId="0" fillId="62" borderId="23" xfId="0" applyFill="1" applyBorder="1"/>
    <xf numFmtId="0" fontId="0" fillId="49" borderId="23" xfId="0" applyFill="1" applyBorder="1"/>
    <xf numFmtId="0" fontId="0" fillId="39" borderId="23" xfId="0" applyFill="1" applyBorder="1"/>
    <xf numFmtId="0" fontId="0" fillId="45" borderId="23" xfId="0" applyFill="1" applyBorder="1"/>
    <xf numFmtId="0" fontId="0" fillId="44" borderId="23" xfId="0" applyFill="1" applyBorder="1"/>
    <xf numFmtId="0" fontId="17" fillId="63" borderId="23" xfId="0" applyFont="1" applyFill="1" applyBorder="1"/>
    <xf numFmtId="0" fontId="17" fillId="64" borderId="23" xfId="0" applyFont="1" applyFill="1" applyBorder="1"/>
    <xf numFmtId="0" fontId="14" fillId="0" borderId="23" xfId="0" applyFont="1" applyBorder="1"/>
    <xf numFmtId="0" fontId="19" fillId="0" borderId="0" xfId="0" applyFont="1" applyAlignment="1">
      <alignment horizontal="center"/>
    </xf>
    <xf numFmtId="0" fontId="0" fillId="0" borderId="0" xfId="0" applyAlignment="1">
      <alignment wrapText="1"/>
    </xf>
    <xf numFmtId="0" fontId="21" fillId="48" borderId="14" xfId="0" applyFont="1" applyFill="1" applyBorder="1" applyAlignment="1">
      <alignment horizontal="center"/>
    </xf>
    <xf numFmtId="0" fontId="20" fillId="50" borderId="0" xfId="0" applyFont="1" applyFill="1" applyAlignment="1">
      <alignment horizontal="center" vertical="center" textRotation="90"/>
    </xf>
    <xf numFmtId="0" fontId="22" fillId="43" borderId="17" xfId="0" applyFont="1" applyFill="1" applyBorder="1" applyAlignment="1">
      <alignment vertical="center" wrapText="1"/>
    </xf>
    <xf numFmtId="0" fontId="22" fillId="43" borderId="18" xfId="0" applyFont="1" applyFill="1" applyBorder="1" applyAlignment="1">
      <alignment vertical="center" wrapText="1"/>
    </xf>
    <xf numFmtId="0" fontId="22" fillId="43" borderId="0" xfId="0" applyFont="1" applyFill="1" applyAlignment="1">
      <alignment vertical="center" wrapText="1"/>
    </xf>
    <xf numFmtId="0" fontId="22" fillId="43" borderId="19" xfId="0" applyFont="1" applyFill="1" applyBorder="1" applyAlignment="1">
      <alignment vertical="center" wrapText="1"/>
    </xf>
    <xf numFmtId="0" fontId="22" fillId="43" borderId="13" xfId="0" applyFont="1" applyFill="1" applyBorder="1" applyAlignment="1">
      <alignment vertical="center" wrapText="1"/>
    </xf>
    <xf numFmtId="0" fontId="22" fillId="43" borderId="20" xfId="0" applyFont="1" applyFill="1" applyBorder="1" applyAlignment="1">
      <alignment vertical="center" wrapText="1"/>
    </xf>
    <xf numFmtId="0" fontId="46" fillId="61" borderId="0" xfId="0" applyFont="1" applyFill="1" applyAlignment="1">
      <alignment horizontal="center" vertical="center" wrapText="1"/>
    </xf>
    <xf numFmtId="0" fontId="44" fillId="61" borderId="0" xfId="0" applyFont="1" applyFill="1" applyAlignment="1">
      <alignment horizontal="center" vertical="center"/>
    </xf>
    <xf numFmtId="0" fontId="18" fillId="50" borderId="35" xfId="0" applyFont="1" applyFill="1" applyBorder="1" applyAlignment="1">
      <alignment horizontal="center" vertical="center" textRotation="90"/>
    </xf>
    <xf numFmtId="0" fontId="18" fillId="50" borderId="36" xfId="0" applyFont="1" applyFill="1" applyBorder="1" applyAlignment="1">
      <alignment horizontal="center" vertical="center" textRotation="90"/>
    </xf>
    <xf numFmtId="0" fontId="18" fillId="50" borderId="37" xfId="0" applyFont="1" applyFill="1" applyBorder="1" applyAlignment="1">
      <alignment horizontal="center" vertical="center" textRotation="90"/>
    </xf>
    <xf numFmtId="0" fontId="13" fillId="48" borderId="34" xfId="0" applyFont="1" applyFill="1" applyBorder="1" applyAlignment="1">
      <alignment horizontal="center"/>
    </xf>
    <xf numFmtId="0" fontId="13" fillId="48" borderId="33" xfId="0" applyFont="1" applyFill="1" applyBorder="1" applyAlignment="1">
      <alignment horizontal="center"/>
    </xf>
    <xf numFmtId="0" fontId="13" fillId="48" borderId="31" xfId="0" applyFont="1" applyFill="1" applyBorder="1" applyAlignment="1">
      <alignment horizontal="center"/>
    </xf>
    <xf numFmtId="0" fontId="22" fillId="43" borderId="25" xfId="0" applyFont="1" applyFill="1" applyBorder="1" applyAlignment="1">
      <alignment horizontal="left" vertical="top" wrapText="1"/>
    </xf>
    <xf numFmtId="0" fontId="25" fillId="56" borderId="38" xfId="0" applyFont="1" applyFill="1" applyBorder="1" applyAlignment="1">
      <alignment horizontal="center" vertical="center" textRotation="90" wrapText="1"/>
    </xf>
    <xf numFmtId="0" fontId="25" fillId="56" borderId="62" xfId="0" applyFont="1" applyFill="1" applyBorder="1" applyAlignment="1">
      <alignment horizontal="center" vertical="center"/>
    </xf>
    <xf numFmtId="0" fontId="47" fillId="43" borderId="92" xfId="0" applyFont="1" applyFill="1" applyBorder="1" applyAlignment="1">
      <alignment horizontal="left" vertical="top" wrapText="1"/>
    </xf>
    <xf numFmtId="0" fontId="47" fillId="43" borderId="93" xfId="0" applyFont="1" applyFill="1" applyBorder="1" applyAlignment="1">
      <alignment horizontal="left" vertical="top" wrapText="1"/>
    </xf>
    <xf numFmtId="0" fontId="47" fillId="43" borderId="94" xfId="0" applyFont="1" applyFill="1" applyBorder="1" applyAlignment="1">
      <alignment horizontal="left" vertical="top" wrapText="1"/>
    </xf>
    <xf numFmtId="0" fontId="47" fillId="43" borderId="91" xfId="0" applyFont="1" applyFill="1" applyBorder="1" applyAlignment="1">
      <alignment horizontal="left" vertical="top" wrapText="1"/>
    </xf>
    <xf numFmtId="0" fontId="47" fillId="43" borderId="14" xfId="0" applyFont="1" applyFill="1" applyBorder="1" applyAlignment="1">
      <alignment horizontal="left" vertical="top" wrapText="1"/>
    </xf>
    <xf numFmtId="0" fontId="47" fillId="43" borderId="95" xfId="0" applyFont="1" applyFill="1" applyBorder="1" applyAlignment="1">
      <alignment horizontal="left" vertical="top" wrapText="1"/>
    </xf>
    <xf numFmtId="0" fontId="47" fillId="43" borderId="96" xfId="0" applyFont="1" applyFill="1" applyBorder="1" applyAlignment="1">
      <alignment horizontal="left" vertical="top" wrapText="1"/>
    </xf>
    <xf numFmtId="0" fontId="47" fillId="43" borderId="97" xfId="0" applyFont="1" applyFill="1" applyBorder="1" applyAlignment="1">
      <alignment horizontal="left" vertical="top" wrapText="1"/>
    </xf>
    <xf numFmtId="0" fontId="47" fillId="43" borderId="98" xfId="0" applyFont="1" applyFill="1" applyBorder="1" applyAlignment="1">
      <alignment horizontal="left" vertical="top" wrapText="1"/>
    </xf>
    <xf numFmtId="0" fontId="25" fillId="52" borderId="25" xfId="0" applyFont="1" applyFill="1" applyBorder="1" applyAlignment="1">
      <alignment horizontal="center" vertical="center" textRotation="90" wrapText="1"/>
    </xf>
    <xf numFmtId="0" fontId="22" fillId="43" borderId="23" xfId="0" applyFont="1" applyFill="1" applyBorder="1" applyAlignment="1">
      <alignment vertical="top" wrapText="1"/>
    </xf>
    <xf numFmtId="0" fontId="43" fillId="61" borderId="0" xfId="0" applyFont="1" applyFill="1" applyAlignment="1">
      <alignment horizontal="center" vertical="center"/>
    </xf>
    <xf numFmtId="0" fontId="13" fillId="57" borderId="80" xfId="0" applyFont="1" applyFill="1" applyBorder="1" applyAlignment="1">
      <alignment horizontal="center"/>
    </xf>
    <xf numFmtId="0" fontId="13" fillId="57" borderId="14" xfId="0" applyFont="1" applyFill="1" applyBorder="1" applyAlignment="1">
      <alignment horizontal="center"/>
    </xf>
    <xf numFmtId="0" fontId="13" fillId="58" borderId="82" xfId="0" applyFont="1" applyFill="1" applyBorder="1" applyAlignment="1">
      <alignment horizontal="center" vertical="center" wrapText="1"/>
    </xf>
    <xf numFmtId="0" fontId="13" fillId="58" borderId="14" xfId="0" applyFont="1" applyFill="1" applyBorder="1" applyAlignment="1">
      <alignment horizontal="center" vertical="center" wrapText="1"/>
    </xf>
    <xf numFmtId="0" fontId="32" fillId="43" borderId="83" xfId="0" applyFont="1" applyFill="1" applyBorder="1" applyAlignment="1">
      <alignment vertical="top" wrapText="1"/>
    </xf>
    <xf numFmtId="0" fontId="32" fillId="43" borderId="84" xfId="0" applyFont="1" applyFill="1" applyBorder="1" applyAlignment="1">
      <alignment vertical="top" wrapText="1"/>
    </xf>
    <xf numFmtId="0" fontId="32" fillId="43" borderId="85" xfId="0" applyFont="1" applyFill="1" applyBorder="1" applyAlignment="1">
      <alignment vertical="top" wrapText="1"/>
    </xf>
    <xf numFmtId="0" fontId="32" fillId="43" borderId="86" xfId="0" applyFont="1" applyFill="1" applyBorder="1" applyAlignment="1">
      <alignment vertical="top" wrapText="1"/>
    </xf>
    <xf numFmtId="0" fontId="32" fillId="43" borderId="0" xfId="0" applyFont="1" applyFill="1" applyAlignment="1">
      <alignment vertical="top" wrapText="1"/>
    </xf>
    <xf numFmtId="0" fontId="32" fillId="43" borderId="87" xfId="0" applyFont="1" applyFill="1" applyBorder="1" applyAlignment="1">
      <alignment vertical="top" wrapText="1"/>
    </xf>
    <xf numFmtId="0" fontId="32" fillId="43" borderId="88" xfId="0" applyFont="1" applyFill="1" applyBorder="1" applyAlignment="1">
      <alignment vertical="top" wrapText="1"/>
    </xf>
    <xf numFmtId="0" fontId="32" fillId="43" borderId="89" xfId="0" applyFont="1" applyFill="1" applyBorder="1" applyAlignment="1">
      <alignment vertical="top" wrapText="1"/>
    </xf>
    <xf numFmtId="0" fontId="32" fillId="43" borderId="90" xfId="0" applyFont="1" applyFill="1" applyBorder="1" applyAlignment="1">
      <alignment vertical="top" wrapText="1"/>
    </xf>
    <xf numFmtId="0" fontId="32" fillId="43" borderId="84" xfId="0" applyFont="1" applyFill="1" applyBorder="1" applyAlignment="1">
      <alignment vertical="top"/>
    </xf>
    <xf numFmtId="0" fontId="32" fillId="43" borderId="85" xfId="0" applyFont="1" applyFill="1" applyBorder="1" applyAlignment="1">
      <alignment vertical="top"/>
    </xf>
    <xf numFmtId="0" fontId="32" fillId="43" borderId="86" xfId="0" applyFont="1" applyFill="1" applyBorder="1" applyAlignment="1">
      <alignment vertical="top"/>
    </xf>
    <xf numFmtId="0" fontId="32" fillId="43" borderId="0" xfId="0" applyFont="1" applyFill="1" applyAlignment="1">
      <alignment vertical="top"/>
    </xf>
    <xf numFmtId="0" fontId="32" fillId="43" borderId="87" xfId="0" applyFont="1" applyFill="1" applyBorder="1" applyAlignment="1">
      <alignment vertical="top"/>
    </xf>
    <xf numFmtId="0" fontId="32" fillId="43" borderId="88" xfId="0" applyFont="1" applyFill="1" applyBorder="1" applyAlignment="1">
      <alignment vertical="top"/>
    </xf>
    <xf numFmtId="0" fontId="32" fillId="43" borderId="89" xfId="0" applyFont="1" applyFill="1" applyBorder="1" applyAlignment="1">
      <alignment vertical="top"/>
    </xf>
    <xf numFmtId="0" fontId="32" fillId="43" borderId="90" xfId="0" applyFont="1" applyFill="1" applyBorder="1" applyAlignment="1">
      <alignment vertical="top"/>
    </xf>
    <xf numFmtId="0" fontId="33" fillId="43" borderId="83" xfId="0" applyFont="1" applyFill="1" applyBorder="1" applyAlignment="1">
      <alignment vertical="top" wrapText="1"/>
    </xf>
    <xf numFmtId="0" fontId="33" fillId="43" borderId="84" xfId="0" applyFont="1" applyFill="1" applyBorder="1" applyAlignment="1">
      <alignment vertical="top" wrapText="1"/>
    </xf>
    <xf numFmtId="0" fontId="33" fillId="43" borderId="85" xfId="0" applyFont="1" applyFill="1" applyBorder="1" applyAlignment="1">
      <alignment vertical="top" wrapText="1"/>
    </xf>
    <xf numFmtId="0" fontId="33" fillId="43" borderId="86" xfId="0" applyFont="1" applyFill="1" applyBorder="1" applyAlignment="1">
      <alignment vertical="top" wrapText="1"/>
    </xf>
    <xf numFmtId="0" fontId="33" fillId="43" borderId="0" xfId="0" applyFont="1" applyFill="1" applyAlignment="1">
      <alignment vertical="top" wrapText="1"/>
    </xf>
    <xf numFmtId="0" fontId="33" fillId="43" borderId="87" xfId="0" applyFont="1" applyFill="1" applyBorder="1" applyAlignment="1">
      <alignment vertical="top" wrapText="1"/>
    </xf>
    <xf numFmtId="0" fontId="33" fillId="43" borderId="88" xfId="0" applyFont="1" applyFill="1" applyBorder="1" applyAlignment="1">
      <alignment vertical="top" wrapText="1"/>
    </xf>
    <xf numFmtId="0" fontId="33" fillId="43" borderId="89" xfId="0" applyFont="1" applyFill="1" applyBorder="1" applyAlignment="1">
      <alignment vertical="top" wrapText="1"/>
    </xf>
    <xf numFmtId="0" fontId="33" fillId="43" borderId="90" xfId="0" applyFont="1" applyFill="1" applyBorder="1" applyAlignment="1">
      <alignment vertical="top" wrapText="1"/>
    </xf>
    <xf numFmtId="0" fontId="40" fillId="0" borderId="0" xfId="0" applyFont="1" applyAlignment="1">
      <alignment horizontal="center" vertical="center"/>
    </xf>
    <xf numFmtId="0" fontId="41" fillId="60" borderId="0" xfId="43" applyFont="1" applyFill="1" applyAlignment="1">
      <alignment horizontal="center" vertical="center"/>
    </xf>
    <xf numFmtId="0" fontId="38" fillId="0" borderId="0" xfId="0" quotePrefix="1" applyFont="1" applyAlignment="1">
      <alignment horizontal="left" vertical="top" wrapText="1"/>
    </xf>
    <xf numFmtId="0" fontId="13" fillId="58" borderId="0" xfId="0" applyFont="1" applyFill="1" applyAlignment="1">
      <alignment horizontal="center"/>
    </xf>
    <xf numFmtId="0" fontId="13" fillId="58" borderId="19" xfId="0" applyFont="1" applyFill="1" applyBorder="1" applyAlignment="1">
      <alignment horizontal="center"/>
    </xf>
    <xf numFmtId="0" fontId="42" fillId="43" borderId="83" xfId="0" applyFont="1" applyFill="1" applyBorder="1" applyAlignment="1">
      <alignment horizontal="left" vertical="center" wrapText="1"/>
    </xf>
    <xf numFmtId="0" fontId="42" fillId="43" borderId="84" xfId="0" applyFont="1" applyFill="1" applyBorder="1" applyAlignment="1">
      <alignment horizontal="left" vertical="center" wrapText="1"/>
    </xf>
    <xf numFmtId="0" fontId="42" fillId="43" borderId="85" xfId="0" applyFont="1" applyFill="1" applyBorder="1" applyAlignment="1">
      <alignment horizontal="left" vertical="center" wrapText="1"/>
    </xf>
    <xf numFmtId="0" fontId="42" fillId="43" borderId="86" xfId="0" applyFont="1" applyFill="1" applyBorder="1" applyAlignment="1">
      <alignment horizontal="left" vertical="center" wrapText="1"/>
    </xf>
    <xf numFmtId="0" fontId="42" fillId="43" borderId="0" xfId="0" applyFont="1" applyFill="1" applyAlignment="1">
      <alignment horizontal="left" vertical="center" wrapText="1"/>
    </xf>
    <xf numFmtId="0" fontId="42" fillId="43" borderId="87" xfId="0" applyFont="1" applyFill="1" applyBorder="1" applyAlignment="1">
      <alignment horizontal="left" vertical="center" wrapText="1"/>
    </xf>
    <xf numFmtId="0" fontId="42" fillId="43" borderId="88" xfId="0" applyFont="1" applyFill="1" applyBorder="1" applyAlignment="1">
      <alignment horizontal="left" vertical="center" wrapText="1"/>
    </xf>
    <xf numFmtId="0" fontId="42" fillId="43" borderId="89" xfId="0" applyFont="1" applyFill="1" applyBorder="1" applyAlignment="1">
      <alignment horizontal="left" vertical="center" wrapText="1"/>
    </xf>
    <xf numFmtId="0" fontId="42" fillId="43" borderId="90" xfId="0" applyFont="1" applyFill="1" applyBorder="1" applyAlignment="1">
      <alignment horizontal="left"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4" xfId="43" xr:uid="{D58D9D89-5BD0-4184-8531-2B98FD0BF765}"/>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3">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dxf>
  </dxfs>
  <tableStyles count="0" defaultTableStyle="TableStyleMedium2" defaultPivotStyle="PivotStyleLight16"/>
  <colors>
    <mruColors>
      <color rgb="FFCCFFCC"/>
      <color rgb="FFFFCCFF"/>
      <color rgb="FF880826"/>
      <color rgb="FF00FF00"/>
      <color rgb="FFFF6699"/>
      <color rgb="FFCCECFF"/>
      <color rgb="FFFF66FF"/>
      <color rgb="FFFFCC99"/>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sng" strike="noStrike" kern="1200" spc="0" baseline="0">
                <a:solidFill>
                  <a:schemeClr val="accent1">
                    <a:lumMod val="50000"/>
                  </a:schemeClr>
                </a:solidFill>
                <a:latin typeface="+mn-lt"/>
                <a:ea typeface="+mn-ea"/>
                <a:cs typeface="+mn-cs"/>
              </a:defRPr>
            </a:pPr>
            <a:r>
              <a:rPr lang="en-IN" sz="1200" b="1" u="sng">
                <a:solidFill>
                  <a:schemeClr val="accent1">
                    <a:lumMod val="50000"/>
                  </a:schemeClr>
                </a:solidFill>
              </a:rPr>
              <a:t>  </a:t>
            </a:r>
            <a:r>
              <a:rPr lang="en-US" sz="1200" b="1" i="0" u="sng" strike="noStrike" kern="1200" spc="0" baseline="0">
                <a:solidFill>
                  <a:schemeClr val="accent1">
                    <a:lumMod val="50000"/>
                  </a:schemeClr>
                </a:solidFill>
              </a:rPr>
              <a:t>Highest Broader Category Contributor Towards The CPI Basket</a:t>
            </a:r>
          </a:p>
        </c:rich>
      </c:tx>
      <c:layout>
        <c:manualLayout>
          <c:xMode val="edge"/>
          <c:yMode val="edge"/>
          <c:x val="9.8570941853422175E-2"/>
          <c:y val="1.37741046831955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sng" strike="noStrike" kern="1200" spc="0" baseline="0">
              <a:solidFill>
                <a:schemeClr val="accent1">
                  <a:lumMod val="50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76EB-416B-BDC5-90B02C3672EC}"/>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76EB-416B-BDC5-90B02C3672EC}"/>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EC-4B75-82CF-3D144785BEBE}"/>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76EB-416B-BDC5-90B02C3672EC}"/>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6-76EB-416B-BDC5-90B02C3672EC}"/>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76EB-416B-BDC5-90B02C3672EC}"/>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EB-416B-BDC5-90B02C3672EC}"/>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76EB-416B-BDC5-90B02C3672EC}"/>
              </c:ext>
            </c:extLst>
          </c:dPt>
          <c:dLbls>
            <c:dLbl>
              <c:idx val="0"/>
              <c:layout>
                <c:manualLayout>
                  <c:x val="-1.7746993538278574E-2"/>
                  <c:y val="-0.13457707688964368"/>
                </c:manualLayout>
              </c:layout>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15270953530775"/>
                      <c:h val="0.15563219213537494"/>
                    </c:manualLayout>
                  </c15:layout>
                </c:ext>
                <c:ext xmlns:c16="http://schemas.microsoft.com/office/drawing/2014/chart" uri="{C3380CC4-5D6E-409C-BE32-E72D297353CC}">
                  <c16:uniqueId val="{00000004-76EB-416B-BDC5-90B02C3672EC}"/>
                </c:ext>
              </c:extLst>
            </c:dLbl>
            <c:dLbl>
              <c:idx val="1"/>
              <c:layout>
                <c:manualLayout>
                  <c:x val="-3.2051282051282097E-2"/>
                  <c:y val="-2.75482093663911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6EB-416B-BDC5-90B02C3672EC}"/>
                </c:ext>
              </c:extLst>
            </c:dLbl>
            <c:dLbl>
              <c:idx val="3"/>
              <c:layout>
                <c:manualLayout>
                  <c:x val="-2.9483701760010271E-2"/>
                  <c:y val="-3.74860856889120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6EB-416B-BDC5-90B02C3672EC}"/>
                </c:ext>
              </c:extLst>
            </c:dLbl>
            <c:dLbl>
              <c:idx val="4"/>
              <c:layout>
                <c:manualLayout>
                  <c:x val="-5.0747863247863234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76EB-416B-BDC5-90B02C3672EC}"/>
                </c:ext>
              </c:extLst>
            </c:dLbl>
            <c:dLbl>
              <c:idx val="5"/>
              <c:layout>
                <c:manualLayout>
                  <c:x val="-9.8824786324786348E-2"/>
                  <c:y val="-4.6439628482972138E-2"/>
                </c:manualLayout>
              </c:layout>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19850763846826"/>
                      <c:h val="0.11978255040101411"/>
                    </c:manualLayout>
                  </c15:layout>
                </c:ext>
                <c:ext xmlns:c16="http://schemas.microsoft.com/office/drawing/2014/chart" uri="{C3380CC4-5D6E-409C-BE32-E72D297353CC}">
                  <c16:uniqueId val="{00000001-76EB-416B-BDC5-90B02C3672EC}"/>
                </c:ext>
              </c:extLst>
            </c:dLbl>
            <c:dLbl>
              <c:idx val="6"/>
              <c:layout>
                <c:manualLayout>
                  <c:x val="2.4038461538461491E-2"/>
                  <c:y val="-1.893415182606306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469080187091998"/>
                      <c:h val="0.11576610774892808"/>
                    </c:manualLayout>
                  </c15:layout>
                </c:ext>
                <c:ext xmlns:c16="http://schemas.microsoft.com/office/drawing/2014/chart" uri="{C3380CC4-5D6E-409C-BE32-E72D297353CC}">
                  <c16:uniqueId val="{00000003-76EB-416B-BDC5-90B02C3672EC}"/>
                </c:ext>
              </c:extLst>
            </c:dLbl>
            <c:dLbl>
              <c:idx val="7"/>
              <c:layout>
                <c:manualLayout>
                  <c:x val="0.16826923076923064"/>
                  <c:y val="-5.117387186105854E-3"/>
                </c:manualLayout>
              </c:layout>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l">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286307961504806E-2"/>
                      <c:h val="0.12494884420439181"/>
                    </c:manualLayout>
                  </c15:layout>
                </c:ext>
                <c:ext xmlns:c16="http://schemas.microsoft.com/office/drawing/2014/chart" uri="{C3380CC4-5D6E-409C-BE32-E72D297353CC}">
                  <c16:uniqueId val="{00000002-76EB-416B-BDC5-90B02C3672EC}"/>
                </c:ext>
              </c:extLst>
            </c:dLbl>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Q1'!$C$27:$C$34</c:f>
              <c:strCache>
                <c:ptCount val="8"/>
                <c:pt idx="0">
                  <c:v>Food</c:v>
                </c:pt>
                <c:pt idx="1">
                  <c:v>Luxury</c:v>
                </c:pt>
                <c:pt idx="2">
                  <c:v>Clothing</c:v>
                </c:pt>
                <c:pt idx="3">
                  <c:v>Housing</c:v>
                </c:pt>
                <c:pt idx="4">
                  <c:v>Essential</c:v>
                </c:pt>
                <c:pt idx="5">
                  <c:v>Health</c:v>
                </c:pt>
                <c:pt idx="6">
                  <c:v>Education</c:v>
                </c:pt>
                <c:pt idx="7">
                  <c:v>Misc</c:v>
                </c:pt>
              </c:strCache>
            </c:strRef>
          </c:cat>
          <c:val>
            <c:numRef>
              <c:f>' Q1'!$D$27:$D$34</c:f>
              <c:numCache>
                <c:formatCode>0%</c:formatCode>
                <c:ptCount val="8"/>
                <c:pt idx="0">
                  <c:v>0.46945852227260604</c:v>
                </c:pt>
                <c:pt idx="1">
                  <c:v>0.12278829910198275</c:v>
                </c:pt>
                <c:pt idx="2">
                  <c:v>0.12667822530452563</c:v>
                </c:pt>
                <c:pt idx="3">
                  <c:v>3.9966213212412192E-2</c:v>
                </c:pt>
                <c:pt idx="4">
                  <c:v>0.11938739219347379</c:v>
                </c:pt>
                <c:pt idx="5">
                  <c:v>4.174446519071752E-2</c:v>
                </c:pt>
                <c:pt idx="6">
                  <c:v>4.0077353961056272E-2</c:v>
                </c:pt>
                <c:pt idx="7">
                  <c:v>3.9899528763225736E-2</c:v>
                </c:pt>
              </c:numCache>
            </c:numRef>
          </c:val>
          <c:extLst>
            <c:ext xmlns:c16="http://schemas.microsoft.com/office/drawing/2014/chart" uri="{C3380CC4-5D6E-409C-BE32-E72D297353CC}">
              <c16:uniqueId val="{00000000-76EB-416B-BDC5-90B02C3672E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cap="none" spc="0" baseline="0">
                <a:ln w="0"/>
                <a:solidFill>
                  <a:schemeClr val="accent1">
                    <a:lumMod val="50000"/>
                  </a:schemeClr>
                </a:solidFill>
                <a:effectLst>
                  <a:outerShdw blurRad="38100" dist="25400" dir="5400000" algn="ctr" rotWithShape="0">
                    <a:srgbClr val="6E747A">
                      <a:alpha val="43000"/>
                    </a:srgbClr>
                  </a:outerShdw>
                </a:effectLst>
                <a:latin typeface="+mn-lt"/>
                <a:ea typeface="+mn-ea"/>
                <a:cs typeface="+mn-cs"/>
              </a:defRPr>
            </a:pPr>
            <a:r>
              <a:rPr lang="en-IN" b="1" u="sng" cap="none" spc="0">
                <a:ln w="0"/>
                <a:solidFill>
                  <a:schemeClr val="accent1">
                    <a:lumMod val="50000"/>
                  </a:schemeClr>
                </a:solidFill>
                <a:effectLst>
                  <a:outerShdw blurRad="38100" dist="25400" dir="5400000" algn="ctr" rotWithShape="0">
                    <a:srgbClr val="6E747A">
                      <a:alpha val="43000"/>
                    </a:srgbClr>
                  </a:outerShdw>
                </a:effectLst>
              </a:rPr>
              <a:t>YOY</a:t>
            </a:r>
            <a:r>
              <a:rPr lang="en-IN" b="1" u="sng" cap="none" spc="0" baseline="0">
                <a:ln w="0"/>
                <a:solidFill>
                  <a:schemeClr val="accent1">
                    <a:lumMod val="50000"/>
                  </a:schemeClr>
                </a:solidFill>
                <a:effectLst>
                  <a:outerShdw blurRad="38100" dist="25400" dir="5400000" algn="ctr" rotWithShape="0">
                    <a:srgbClr val="6E747A">
                      <a:alpha val="43000"/>
                    </a:srgbClr>
                  </a:outerShdw>
                </a:effectLst>
              </a:rPr>
              <a:t> inflation(Rural+Urban)</a:t>
            </a:r>
          </a:p>
        </c:rich>
      </c:tx>
      <c:overlay val="0"/>
      <c:spPr>
        <a:noFill/>
        <a:ln>
          <a:noFill/>
        </a:ln>
        <a:effectLst/>
      </c:spPr>
      <c:txPr>
        <a:bodyPr rot="0" spcFirstLastPara="1" vertOverflow="ellipsis" vert="horz" wrap="square" anchor="ctr" anchorCtr="1"/>
        <a:lstStyle/>
        <a:p>
          <a:pPr>
            <a:defRPr sz="1400" b="1" i="0" u="sng" strike="noStrike" kern="1200" cap="none" spc="0" baseline="0">
              <a:ln w="0"/>
              <a:solidFill>
                <a:schemeClr val="accent1">
                  <a:lumMod val="50000"/>
                </a:schemeClr>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 Q2'!$B$22:$B$27</c:f>
              <c:numCache>
                <c:formatCode>General</c:formatCode>
                <c:ptCount val="6"/>
                <c:pt idx="0">
                  <c:v>2017</c:v>
                </c:pt>
                <c:pt idx="1">
                  <c:v>2018</c:v>
                </c:pt>
                <c:pt idx="2">
                  <c:v>2019</c:v>
                </c:pt>
                <c:pt idx="3">
                  <c:v>2020</c:v>
                </c:pt>
                <c:pt idx="4">
                  <c:v>2021</c:v>
                </c:pt>
                <c:pt idx="5">
                  <c:v>2022</c:v>
                </c:pt>
              </c:numCache>
            </c:numRef>
          </c:cat>
          <c:val>
            <c:numRef>
              <c:f>' Q2'!$C$22:$C$27</c:f>
              <c:numCache>
                <c:formatCode>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BE55-47C4-9835-6E2C089AA805}"/>
            </c:ext>
          </c:extLst>
        </c:ser>
        <c:dLbls>
          <c:showLegendKey val="0"/>
          <c:showVal val="0"/>
          <c:showCatName val="0"/>
          <c:showSerName val="0"/>
          <c:showPercent val="0"/>
          <c:showBubbleSize val="0"/>
        </c:dLbls>
        <c:smooth val="0"/>
        <c:axId val="1074006256"/>
        <c:axId val="1074001456"/>
      </c:lineChart>
      <c:catAx>
        <c:axId val="107400625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r>
                  <a:rPr lang="en-IN" sz="1050">
                    <a:solidFill>
                      <a:schemeClr val="accent1">
                        <a:lumMod val="50000"/>
                      </a:schemeClr>
                    </a:solidFill>
                  </a:rPr>
                  <a:t>Years</a:t>
                </a:r>
              </a:p>
            </c:rich>
          </c:tx>
          <c:layout>
            <c:manualLayout>
              <c:xMode val="edge"/>
              <c:yMode val="edge"/>
              <c:x val="0.43242899270813473"/>
              <c:y val="0.8741516454224831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4001456"/>
        <c:crosses val="autoZero"/>
        <c:auto val="1"/>
        <c:lblAlgn val="ctr"/>
        <c:lblOffset val="100"/>
        <c:noMultiLvlLbl val="0"/>
      </c:catAx>
      <c:valAx>
        <c:axId val="1074001456"/>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sz="1050">
                    <a:solidFill>
                      <a:schemeClr val="accent1">
                        <a:lumMod val="50000"/>
                      </a:schemeClr>
                    </a:solidFill>
                  </a:rPr>
                  <a:t>YOY  Inflation</a:t>
                </a:r>
              </a:p>
            </c:rich>
          </c:tx>
          <c:layout>
            <c:manualLayout>
              <c:xMode val="edge"/>
              <c:yMode val="edge"/>
              <c:x val="2.0571427513601671E-2"/>
              <c:y val="0.31646566931669157"/>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4006256"/>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70C0"/>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r>
              <a:rPr lang="en-IN" u="sng">
                <a:solidFill>
                  <a:schemeClr val="accent1">
                    <a:lumMod val="50000"/>
                  </a:schemeClr>
                </a:solidFill>
              </a:rPr>
              <a:t>Month on Month Food Inflation (June 2022 to May 2023) </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accent1">
                  <a:lumMod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 Q3(i)'!$G$30:$G$31</c:f>
              <c:strCache>
                <c:ptCount val="2"/>
                <c:pt idx="0">
                  <c:v>MOM Inflation</c:v>
                </c:pt>
                <c:pt idx="1">
                  <c:v>-</c:v>
                </c:pt>
              </c:strCache>
            </c:strRef>
          </c:tx>
          <c:spPr>
            <a:solidFill>
              <a:schemeClr val="accent1"/>
            </a:solidFill>
            <a:ln>
              <a:noFill/>
            </a:ln>
            <a:effectLst/>
          </c:spPr>
          <c:invertIfNegative val="0"/>
          <c:cat>
            <c:strRef>
              <c:f>' Q3(i)'!$F$32:$F$43</c:f>
              <c:strCache>
                <c:ptCount val="12"/>
                <c:pt idx="0">
                  <c:v>June</c:v>
                </c:pt>
                <c:pt idx="1">
                  <c:v>July</c:v>
                </c:pt>
                <c:pt idx="2">
                  <c:v>Aug</c:v>
                </c:pt>
                <c:pt idx="3">
                  <c:v>Sept</c:v>
                </c:pt>
                <c:pt idx="4">
                  <c:v>Oct</c:v>
                </c:pt>
                <c:pt idx="5">
                  <c:v>Nov</c:v>
                </c:pt>
                <c:pt idx="6">
                  <c:v>Dec</c:v>
                </c:pt>
                <c:pt idx="7">
                  <c:v>Jan</c:v>
                </c:pt>
                <c:pt idx="8">
                  <c:v>Feb</c:v>
                </c:pt>
                <c:pt idx="9">
                  <c:v>March</c:v>
                </c:pt>
                <c:pt idx="10">
                  <c:v>April</c:v>
                </c:pt>
                <c:pt idx="11">
                  <c:v>May</c:v>
                </c:pt>
              </c:strCache>
            </c:strRef>
          </c:cat>
          <c:val>
            <c:numRef>
              <c:f>' Q3(i)'!$G$32:$G$43</c:f>
              <c:numCache>
                <c:formatCode>0.00%</c:formatCode>
                <c:ptCount val="12"/>
                <c:pt idx="0">
                  <c:v>1.0715320011584041E-2</c:v>
                </c:pt>
                <c:pt idx="1">
                  <c:v>1.8624641833811322E-3</c:v>
                </c:pt>
                <c:pt idx="2">
                  <c:v>1.191667858334525E-3</c:v>
                </c:pt>
                <c:pt idx="3">
                  <c:v>5.2847076747285799E-3</c:v>
                </c:pt>
                <c:pt idx="4">
                  <c:v>7.5301918067724799E-3</c:v>
                </c:pt>
                <c:pt idx="5">
                  <c:v>-4.7005734699654729E-4</c:v>
                </c:pt>
                <c:pt idx="6">
                  <c:v>-6.5838976674188997E-3</c:v>
                </c:pt>
                <c:pt idx="7">
                  <c:v>4.2132171937133544E-3</c:v>
                </c:pt>
                <c:pt idx="8">
                  <c:v>-6.8354311035685655E-3</c:v>
                </c:pt>
                <c:pt idx="9">
                  <c:v>4.7465350294026154E-5</c:v>
                </c:pt>
                <c:pt idx="10">
                  <c:v>4.6513835492907295E-3</c:v>
                </c:pt>
                <c:pt idx="11">
                  <c:v>7.9368828837339846E-3</c:v>
                </c:pt>
              </c:numCache>
            </c:numRef>
          </c:val>
          <c:extLst>
            <c:ext xmlns:c16="http://schemas.microsoft.com/office/drawing/2014/chart" uri="{C3380CC4-5D6E-409C-BE32-E72D297353CC}">
              <c16:uniqueId val="{00000000-2B1C-4FCF-8375-1E2024A5BB74}"/>
            </c:ext>
          </c:extLst>
        </c:ser>
        <c:dLbls>
          <c:showLegendKey val="0"/>
          <c:showVal val="0"/>
          <c:showCatName val="0"/>
          <c:showSerName val="0"/>
          <c:showPercent val="0"/>
          <c:showBubbleSize val="0"/>
        </c:dLbls>
        <c:gapWidth val="219"/>
        <c:overlap val="-27"/>
        <c:axId val="1103290400"/>
        <c:axId val="1103293280"/>
      </c:barChart>
      <c:catAx>
        <c:axId val="1103290400"/>
        <c:scaling>
          <c:orientation val="minMax"/>
        </c:scaling>
        <c:delete val="1"/>
        <c:axPos val="b"/>
        <c:numFmt formatCode="General" sourceLinked="1"/>
        <c:majorTickMark val="out"/>
        <c:minorTickMark val="none"/>
        <c:tickLblPos val="nextTo"/>
        <c:crossAx val="1103293280"/>
        <c:crosses val="autoZero"/>
        <c:auto val="1"/>
        <c:lblAlgn val="ctr"/>
        <c:lblOffset val="100"/>
        <c:noMultiLvlLbl val="0"/>
      </c:catAx>
      <c:valAx>
        <c:axId val="1103293280"/>
        <c:scaling>
          <c:orientation val="minMax"/>
        </c:scaling>
        <c:delete val="1"/>
        <c:axPos val="l"/>
        <c:numFmt formatCode="0.00%" sourceLinked="1"/>
        <c:majorTickMark val="out"/>
        <c:minorTickMark val="none"/>
        <c:tickLblPos val="nextTo"/>
        <c:crossAx val="1103290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chemeClr val="accent4">
                    <a:lumMod val="50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139700">
        <a:schemeClr val="accent5">
          <a:satMod val="175000"/>
          <a:alpha val="40000"/>
        </a:schemeClr>
      </a:glow>
    </a:effectLst>
  </c:spPr>
  <c:txPr>
    <a:bodyPr/>
    <a:lstStyle/>
    <a:p>
      <a:pPr>
        <a:defRPr b="1">
          <a:solidFill>
            <a:schemeClr val="accent4">
              <a:lumMod val="50000"/>
            </a:schemeClr>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1" i="0" u="sng" strike="noStrike" kern="1200" baseline="0">
                <a:solidFill>
                  <a:schemeClr val="accent1">
                    <a:lumMod val="50000"/>
                  </a:schemeClr>
                </a:solidFill>
                <a:latin typeface="+mn-lt"/>
                <a:ea typeface="+mn-ea"/>
                <a:cs typeface="+mn-cs"/>
              </a:defRPr>
            </a:pPr>
            <a:r>
              <a:rPr lang="en-US" sz="1400" u="sng">
                <a:solidFill>
                  <a:schemeClr val="accent1">
                    <a:lumMod val="50000"/>
                  </a:schemeClr>
                </a:solidFill>
              </a:rPr>
              <a:t>Highest YOY Inflation Contributor Among the Food Category</a:t>
            </a:r>
          </a:p>
        </c:rich>
      </c:tx>
      <c:overlay val="0"/>
      <c:spPr>
        <a:noFill/>
        <a:ln>
          <a:noFill/>
        </a:ln>
        <a:effectLst/>
      </c:spPr>
      <c:txPr>
        <a:bodyPr rot="0" spcFirstLastPara="1" vertOverflow="ellipsis" vert="horz" wrap="square" anchor="ctr" anchorCtr="1"/>
        <a:lstStyle/>
        <a:p>
          <a:pPr algn="ctr" rtl="0">
            <a:defRPr sz="1400" b="1" i="0" u="sng" strike="noStrike" kern="1200" baseline="0">
              <a:solidFill>
                <a:schemeClr val="accent1">
                  <a:lumMod val="50000"/>
                </a:schemeClr>
              </a:solidFill>
              <a:latin typeface="+mn-lt"/>
              <a:ea typeface="+mn-ea"/>
              <a:cs typeface="+mn-cs"/>
            </a:defRPr>
          </a:pPr>
          <a:endParaRPr lang="en-US"/>
        </a:p>
      </c:txPr>
    </c:title>
    <c:autoTitleDeleted val="0"/>
    <c:plotArea>
      <c:layout>
        <c:manualLayout>
          <c:layoutTarget val="inner"/>
          <c:xMode val="edge"/>
          <c:yMode val="edge"/>
          <c:x val="0.12252417104302714"/>
          <c:y val="0.16479953764891211"/>
          <c:w val="0.85260960974842381"/>
          <c:h val="0.56295109954830791"/>
        </c:manualLayout>
      </c:layout>
      <c:barChart>
        <c:barDir val="col"/>
        <c:grouping val="clustered"/>
        <c:varyColors val="0"/>
        <c:ser>
          <c:idx val="0"/>
          <c:order val="0"/>
          <c:tx>
            <c:strRef>
              <c:f>'Q3(ii)'!$D$23</c:f>
              <c:strCache>
                <c:ptCount val="1"/>
                <c:pt idx="0">
                  <c:v>YOY Inflation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'Q3(ii)'!$C$24:$C$35</c:f>
              <c:strCache>
                <c:ptCount val="12"/>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Prepared meals, snacks, sweets etc.</c:v>
                </c:pt>
                <c:pt idx="11">
                  <c:v>Food and beverages</c:v>
                </c:pt>
              </c:strCache>
            </c:strRef>
          </c:cat>
          <c:val>
            <c:numRef>
              <c:f>'Q3(ii)'!$D$24:$D$35</c:f>
              <c:numCache>
                <c:formatCode>0%</c:formatCode>
                <c:ptCount val="12"/>
                <c:pt idx="0">
                  <c:v>0.1206451612903225</c:v>
                </c:pt>
                <c:pt idx="1">
                  <c:v>-2.3245214220601614E-2</c:v>
                </c:pt>
                <c:pt idx="2">
                  <c:v>1.4051522248243426E-2</c:v>
                </c:pt>
                <c:pt idx="3">
                  <c:v>8.2629674306393175E-2</c:v>
                </c:pt>
                <c:pt idx="4">
                  <c:v>-0.15380786460925835</c:v>
                </c:pt>
                <c:pt idx="5">
                  <c:v>1.4731879787860933E-2</c:v>
                </c:pt>
                <c:pt idx="6">
                  <c:v>-0.11684037301151953</c:v>
                </c:pt>
                <c:pt idx="7">
                  <c:v>6.8776628119293873E-2</c:v>
                </c:pt>
                <c:pt idx="8">
                  <c:v>2.3352793994995805E-2</c:v>
                </c:pt>
                <c:pt idx="9">
                  <c:v>0.16515232495991453</c:v>
                </c:pt>
                <c:pt idx="10">
                  <c:v>5.6008700380641561E-2</c:v>
                </c:pt>
                <c:pt idx="11">
                  <c:v>2.4013722126929607E-2</c:v>
                </c:pt>
              </c:numCache>
            </c:numRef>
          </c:val>
          <c:extLst>
            <c:ext xmlns:c16="http://schemas.microsoft.com/office/drawing/2014/chart" uri="{C3380CC4-5D6E-409C-BE32-E72D297353CC}">
              <c16:uniqueId val="{00000000-0B08-4BC5-89F7-9FEA023086A6}"/>
            </c:ext>
          </c:extLst>
        </c:ser>
        <c:dLbls>
          <c:showLegendKey val="0"/>
          <c:showVal val="0"/>
          <c:showCatName val="0"/>
          <c:showSerName val="0"/>
          <c:showPercent val="0"/>
          <c:showBubbleSize val="0"/>
        </c:dLbls>
        <c:gapWidth val="100"/>
        <c:overlap val="-24"/>
        <c:axId val="1100281664"/>
        <c:axId val="1100267744"/>
      </c:barChart>
      <c:catAx>
        <c:axId val="1100281664"/>
        <c:scaling>
          <c:orientation val="minMax"/>
        </c:scaling>
        <c:delete val="1"/>
        <c:axPos val="b"/>
        <c:numFmt formatCode="General" sourceLinked="1"/>
        <c:majorTickMark val="out"/>
        <c:minorTickMark val="none"/>
        <c:tickLblPos val="nextTo"/>
        <c:crossAx val="1100267744"/>
        <c:crosses val="autoZero"/>
        <c:auto val="0"/>
        <c:lblAlgn val="ctr"/>
        <c:lblOffset val="100"/>
        <c:noMultiLvlLbl val="0"/>
      </c:catAx>
      <c:valAx>
        <c:axId val="1100267744"/>
        <c:scaling>
          <c:orientation val="minMax"/>
          <c:min val="-0.2"/>
        </c:scaling>
        <c:delete val="1"/>
        <c:axPos val="l"/>
        <c:numFmt formatCode="0%" sourceLinked="1"/>
        <c:majorTickMark val="out"/>
        <c:minorTickMark val="none"/>
        <c:tickLblPos val="nextTo"/>
        <c:crossAx val="1100281664"/>
        <c:crosses val="autoZero"/>
        <c:crossBetween val="midCat"/>
      </c:valAx>
      <c:dTable>
        <c:showHorzBorder val="1"/>
        <c:showVertBorder val="1"/>
        <c:showOutline val="1"/>
        <c:showKeys val="0"/>
        <c:spPr>
          <a:noFill/>
          <a:ln w="0" cmpd="dbl">
            <a:solidFill>
              <a:schemeClr val="tx2">
                <a:lumMod val="15000"/>
                <a:lumOff val="85000"/>
              </a:schemeClr>
            </a:solidFill>
            <a:prstDash val="sysDash"/>
          </a:ln>
          <a:effectLst/>
        </c:spPr>
        <c:txPr>
          <a:bodyPr rot="0" spcFirstLastPara="1" vertOverflow="ellipsis" vert="horz" wrap="square" anchor="ctr" anchorCtr="1"/>
          <a:lstStyle/>
          <a:p>
            <a:pPr rtl="0">
              <a:defRPr sz="8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a:glow rad="228600">
        <a:schemeClr val="accent5">
          <a:satMod val="175000"/>
          <a:alpha val="40000"/>
        </a:schemeClr>
      </a:glow>
    </a:effectLst>
  </c:spPr>
  <c:txPr>
    <a:bodyPr/>
    <a:lstStyle/>
    <a:p>
      <a:pPr>
        <a:defRPr sz="8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'Q4(Pre-Covid)'!$D$10:$I$10</c:f>
          <c:strCache>
            <c:ptCount val="6"/>
            <c:pt idx="0">
              <c:v>PRE_COVID(Rural)</c:v>
            </c:pt>
          </c:strCache>
        </c:strRef>
      </c:tx>
      <c:overlay val="0"/>
      <c:spPr>
        <a:noFill/>
        <a:ln>
          <a:noFill/>
        </a:ln>
        <a:effectLst/>
      </c:spPr>
      <c:txPr>
        <a:bodyPr rot="0" spcFirstLastPara="1" vertOverflow="ellipsis" vert="horz" wrap="square" anchor="ctr" anchorCtr="1"/>
        <a:lstStyle/>
        <a:p>
          <a:pPr>
            <a:defRPr sz="1400" b="1" i="0" u="sng"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'Q4(Pre-Covid)'!$D$17</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'Q4(Pre-Covid)'!$E$16:$F$16</c:f>
              <c:strCache>
                <c:ptCount val="2"/>
                <c:pt idx="0">
                  <c:v>YOY Inflation (2018-2019)</c:v>
                </c:pt>
                <c:pt idx="1">
                  <c:v>YOY Inflation (2019-2020)</c:v>
                </c:pt>
              </c:strCache>
            </c:strRef>
          </c:cat>
          <c:val>
            <c:numRef>
              <c:f>'Q4(Pre-Covid)'!$E$17:$F$17</c:f>
              <c:numCache>
                <c:formatCode>0.0%</c:formatCode>
                <c:ptCount val="2"/>
                <c:pt idx="0">
                  <c:v>9.6561814191660697E-2</c:v>
                </c:pt>
                <c:pt idx="1">
                  <c:v>3.8563829787233925E-2</c:v>
                </c:pt>
              </c:numCache>
            </c:numRef>
          </c:val>
          <c:extLst>
            <c:ext xmlns:c16="http://schemas.microsoft.com/office/drawing/2014/chart" uri="{C3380CC4-5D6E-409C-BE32-E72D297353CC}">
              <c16:uniqueId val="{00000000-5D33-430D-ADD1-4BE7E90B80C2}"/>
            </c:ext>
          </c:extLst>
        </c:ser>
        <c:ser>
          <c:idx val="1"/>
          <c:order val="1"/>
          <c:tx>
            <c:strRef>
              <c:f>'Q4(Pre-Covid)'!$D$18</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'Q4(Pre-Covid)'!$E$16:$F$16</c:f>
              <c:strCache>
                <c:ptCount val="2"/>
                <c:pt idx="0">
                  <c:v>YOY Inflation (2018-2019)</c:v>
                </c:pt>
                <c:pt idx="1">
                  <c:v>YOY Inflation (2019-2020)</c:v>
                </c:pt>
              </c:strCache>
            </c:strRef>
          </c:cat>
          <c:val>
            <c:numRef>
              <c:f>'Q4(Pre-Covid)'!$E$18:$F$18</c:f>
              <c:numCache>
                <c:formatCode>0.0%</c:formatCode>
                <c:ptCount val="2"/>
                <c:pt idx="0">
                  <c:v>-1.7203779985461378E-2</c:v>
                </c:pt>
                <c:pt idx="1">
                  <c:v>8.9850966867840637E-2</c:v>
                </c:pt>
              </c:numCache>
            </c:numRef>
          </c:val>
          <c:extLst>
            <c:ext xmlns:c16="http://schemas.microsoft.com/office/drawing/2014/chart" uri="{C3380CC4-5D6E-409C-BE32-E72D297353CC}">
              <c16:uniqueId val="{00000001-5D33-430D-ADD1-4BE7E90B80C2}"/>
            </c:ext>
          </c:extLst>
        </c:ser>
        <c:ser>
          <c:idx val="2"/>
          <c:order val="2"/>
          <c:tx>
            <c:strRef>
              <c:f>'Q4(Pre-Covid)'!$D$19</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'Q4(Pre-Covid)'!$E$16:$F$16</c:f>
              <c:strCache>
                <c:ptCount val="2"/>
                <c:pt idx="0">
                  <c:v>YOY Inflation (2018-2019)</c:v>
                </c:pt>
                <c:pt idx="1">
                  <c:v>YOY Inflation (2019-2020)</c:v>
                </c:pt>
              </c:strCache>
            </c:strRef>
          </c:cat>
          <c:val>
            <c:numRef>
              <c:f>'Q4(Pre-Covid)'!$E$19:$F$19</c:f>
              <c:numCache>
                <c:formatCode>0.0%</c:formatCode>
                <c:ptCount val="2"/>
                <c:pt idx="0">
                  <c:v>3.2534678436317722E-2</c:v>
                </c:pt>
                <c:pt idx="1">
                  <c:v>5.2156958323178244E-2</c:v>
                </c:pt>
              </c:numCache>
            </c:numRef>
          </c:val>
          <c:extLst>
            <c:ext xmlns:c16="http://schemas.microsoft.com/office/drawing/2014/chart" uri="{C3380CC4-5D6E-409C-BE32-E72D297353CC}">
              <c16:uniqueId val="{00000002-5D33-430D-ADD1-4BE7E90B80C2}"/>
            </c:ext>
          </c:extLst>
        </c:ser>
        <c:dLbls>
          <c:dLblPos val="outEnd"/>
          <c:showLegendKey val="0"/>
          <c:showVal val="1"/>
          <c:showCatName val="0"/>
          <c:showSerName val="0"/>
          <c:showPercent val="0"/>
          <c:showBubbleSize val="0"/>
        </c:dLbls>
        <c:gapWidth val="219"/>
        <c:overlap val="-27"/>
        <c:axId val="1272744096"/>
        <c:axId val="1272752256"/>
      </c:barChart>
      <c:catAx>
        <c:axId val="1272744096"/>
        <c:scaling>
          <c:orientation val="minMax"/>
        </c:scaling>
        <c:delete val="0"/>
        <c:axPos val="b"/>
        <c:numFmt formatCode="General" sourceLinked="1"/>
        <c:majorTickMark val="none"/>
        <c:minorTickMark val="none"/>
        <c:tickLblPos val="low"/>
        <c:spPr>
          <a:noFill/>
          <a:ln w="15875" cap="flat" cmpd="sng" algn="ctr">
            <a:solidFill>
              <a:schemeClr val="bg2">
                <a:lumMod val="10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272752256"/>
        <c:crosses val="autoZero"/>
        <c:auto val="1"/>
        <c:lblAlgn val="ctr"/>
        <c:lblOffset val="100"/>
        <c:noMultiLvlLbl val="0"/>
      </c:catAx>
      <c:valAx>
        <c:axId val="1272752256"/>
        <c:scaling>
          <c:orientation val="minMax"/>
        </c:scaling>
        <c:delete val="1"/>
        <c:axPos val="l"/>
        <c:numFmt formatCode="0.0%" sourceLinked="1"/>
        <c:majorTickMark val="out"/>
        <c:minorTickMark val="none"/>
        <c:tickLblPos val="nextTo"/>
        <c:crossAx val="127274409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outerShdw blurRad="63500" sx="102000" sy="102000" algn="ctr" rotWithShape="0">
        <a:schemeClr val="bg1">
          <a:alpha val="40000"/>
        </a:scheme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'Q4(Pre-Covid)'!$D$31:$I$31</c:f>
          <c:strCache>
            <c:ptCount val="6"/>
            <c:pt idx="0">
              <c:v>PRE_COVID(Rural+Urban)</c:v>
            </c:pt>
          </c:strCache>
        </c:strRef>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'Q4(Pre-Covid)'!$D$39</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'Q4(Pre-Covid)'!$E$38:$F$38</c:f>
              <c:strCache>
                <c:ptCount val="2"/>
                <c:pt idx="0">
                  <c:v>YOY Inflation (2018-2019)</c:v>
                </c:pt>
                <c:pt idx="1">
                  <c:v>YOY Inflation (2019-2020)</c:v>
                </c:pt>
              </c:strCache>
            </c:strRef>
          </c:cat>
          <c:val>
            <c:numRef>
              <c:f>'Q4(Pre-Covid)'!$E$39:$F$39</c:f>
              <c:numCache>
                <c:formatCode>0.0%</c:formatCode>
                <c:ptCount val="2"/>
                <c:pt idx="0">
                  <c:v>8.4139985107967108E-2</c:v>
                </c:pt>
                <c:pt idx="1">
                  <c:v>3.761969904240766E-2</c:v>
                </c:pt>
              </c:numCache>
            </c:numRef>
          </c:val>
          <c:extLst>
            <c:ext xmlns:c16="http://schemas.microsoft.com/office/drawing/2014/chart" uri="{C3380CC4-5D6E-409C-BE32-E72D297353CC}">
              <c16:uniqueId val="{00000000-654B-44FF-94A3-52B90950778E}"/>
            </c:ext>
          </c:extLst>
        </c:ser>
        <c:ser>
          <c:idx val="1"/>
          <c:order val="1"/>
          <c:tx>
            <c:strRef>
              <c:f>'Q4(Pre-Covid)'!$D$40</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'Q4(Pre-Covid)'!$E$38:$F$38</c:f>
              <c:strCache>
                <c:ptCount val="2"/>
                <c:pt idx="0">
                  <c:v>YOY Inflation (2018-2019)</c:v>
                </c:pt>
                <c:pt idx="1">
                  <c:v>YOY Inflation (2019-2020)</c:v>
                </c:pt>
              </c:strCache>
            </c:strRef>
          </c:cat>
          <c:val>
            <c:numRef>
              <c:f>'Q4(Pre-Covid)'!$E$40:$F$40</c:f>
              <c:numCache>
                <c:formatCode>0.0%</c:formatCode>
                <c:ptCount val="2"/>
                <c:pt idx="0">
                  <c:v>-2.0898641588297318E-3</c:v>
                </c:pt>
                <c:pt idx="1">
                  <c:v>8.9553154922661346E-2</c:v>
                </c:pt>
              </c:numCache>
            </c:numRef>
          </c:val>
          <c:extLst>
            <c:ext xmlns:c16="http://schemas.microsoft.com/office/drawing/2014/chart" uri="{C3380CC4-5D6E-409C-BE32-E72D297353CC}">
              <c16:uniqueId val="{00000001-654B-44FF-94A3-52B90950778E}"/>
            </c:ext>
          </c:extLst>
        </c:ser>
        <c:ser>
          <c:idx val="2"/>
          <c:order val="2"/>
          <c:tx>
            <c:strRef>
              <c:f>'Q4(Pre-Covid)'!$D$41</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'Q4(Pre-Covid)'!$E$38:$F$38</c:f>
              <c:strCache>
                <c:ptCount val="2"/>
                <c:pt idx="0">
                  <c:v>YOY Inflation (2018-2019)</c:v>
                </c:pt>
                <c:pt idx="1">
                  <c:v>YOY Inflation (2019-2020)</c:v>
                </c:pt>
              </c:strCache>
            </c:strRef>
          </c:cat>
          <c:val>
            <c:numRef>
              <c:f>'Q4(Pre-Covid)'!$E$41:$F$41</c:f>
              <c:numCache>
                <c:formatCode>0.0%</c:formatCode>
                <c:ptCount val="2"/>
                <c:pt idx="0">
                  <c:v>2.7741768213637514E-2</c:v>
                </c:pt>
                <c:pt idx="1">
                  <c:v>5.833542871511202E-2</c:v>
                </c:pt>
              </c:numCache>
            </c:numRef>
          </c:val>
          <c:extLst>
            <c:ext xmlns:c16="http://schemas.microsoft.com/office/drawing/2014/chart" uri="{C3380CC4-5D6E-409C-BE32-E72D297353CC}">
              <c16:uniqueId val="{00000002-654B-44FF-94A3-52B90950778E}"/>
            </c:ext>
          </c:extLst>
        </c:ser>
        <c:dLbls>
          <c:dLblPos val="outEnd"/>
          <c:showLegendKey val="0"/>
          <c:showVal val="1"/>
          <c:showCatName val="0"/>
          <c:showSerName val="0"/>
          <c:showPercent val="0"/>
          <c:showBubbleSize val="0"/>
        </c:dLbls>
        <c:gapWidth val="219"/>
        <c:overlap val="-27"/>
        <c:axId val="1305622304"/>
        <c:axId val="1305618464"/>
      </c:barChart>
      <c:catAx>
        <c:axId val="1305622304"/>
        <c:scaling>
          <c:orientation val="minMax"/>
        </c:scaling>
        <c:delete val="0"/>
        <c:axPos val="b"/>
        <c:numFmt formatCode="General" sourceLinked="1"/>
        <c:majorTickMark val="none"/>
        <c:minorTickMark val="none"/>
        <c:tickLblPos val="low"/>
        <c:spPr>
          <a:noFill/>
          <a:ln w="12700" cap="flat" cmpd="sng" algn="ctr">
            <a:solidFill>
              <a:schemeClr val="bg2">
                <a:lumMod val="10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305618464"/>
        <c:crosses val="autoZero"/>
        <c:auto val="1"/>
        <c:lblAlgn val="ctr"/>
        <c:lblOffset val="100"/>
        <c:noMultiLvlLbl val="0"/>
      </c:catAx>
      <c:valAx>
        <c:axId val="1305618464"/>
        <c:scaling>
          <c:orientation val="minMax"/>
        </c:scaling>
        <c:delete val="1"/>
        <c:axPos val="l"/>
        <c:numFmt formatCode="0.0%" sourceLinked="1"/>
        <c:majorTickMark val="out"/>
        <c:minorTickMark val="none"/>
        <c:tickLblPos val="nextTo"/>
        <c:crossAx val="1305622304"/>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'Q4(Pre-Covid)'!$D$55:$I$55</c:f>
          <c:strCache>
            <c:ptCount val="6"/>
            <c:pt idx="0">
              <c:v>PRE_COVID(Urban)</c:v>
            </c:pt>
          </c:strCache>
        </c:strRef>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tx>
            <c:strRef>
              <c:f>'Q4(Pre-Covid)'!$D$63</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'Q4(Pre-Covid)'!$E$62:$F$62</c:f>
              <c:strCache>
                <c:ptCount val="2"/>
                <c:pt idx="0">
                  <c:v>YOY Inflation (2018-2019)</c:v>
                </c:pt>
                <c:pt idx="1">
                  <c:v>YOY Inflation (2019-2020)</c:v>
                </c:pt>
              </c:strCache>
            </c:strRef>
          </c:cat>
          <c:val>
            <c:numRef>
              <c:f>'Q4(Pre-Covid)'!$E$63:$F$63</c:f>
              <c:numCache>
                <c:formatCode>0.0%</c:formatCode>
                <c:ptCount val="2"/>
                <c:pt idx="0">
                  <c:v>6.1302681992337162E-2</c:v>
                </c:pt>
                <c:pt idx="1">
                  <c:v>3.7356321839080588E-2</c:v>
                </c:pt>
              </c:numCache>
            </c:numRef>
          </c:val>
          <c:extLst>
            <c:ext xmlns:c16="http://schemas.microsoft.com/office/drawing/2014/chart" uri="{C3380CC4-5D6E-409C-BE32-E72D297353CC}">
              <c16:uniqueId val="{00000000-FE8E-4CA6-8882-8EB93E4C04B7}"/>
            </c:ext>
          </c:extLst>
        </c:ser>
        <c:ser>
          <c:idx val="1"/>
          <c:order val="1"/>
          <c:tx>
            <c:strRef>
              <c:f>'Q4(Pre-Covid)'!$D$64</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'Q4(Pre-Covid)'!$E$62:$F$62</c:f>
              <c:strCache>
                <c:ptCount val="2"/>
                <c:pt idx="0">
                  <c:v>YOY Inflation (2018-2019)</c:v>
                </c:pt>
                <c:pt idx="1">
                  <c:v>YOY Inflation (2019-2020)</c:v>
                </c:pt>
              </c:strCache>
            </c:strRef>
          </c:cat>
          <c:val>
            <c:numRef>
              <c:f>'Q4(Pre-Covid)'!$E$64:$F$64</c:f>
              <c:numCache>
                <c:formatCode>0.0%</c:formatCode>
                <c:ptCount val="2"/>
                <c:pt idx="0">
                  <c:v>2.3154848046309812E-2</c:v>
                </c:pt>
                <c:pt idx="1">
                  <c:v>8.8541984267333257E-2</c:v>
                </c:pt>
              </c:numCache>
            </c:numRef>
          </c:val>
          <c:extLst>
            <c:ext xmlns:c16="http://schemas.microsoft.com/office/drawing/2014/chart" uri="{C3380CC4-5D6E-409C-BE32-E72D297353CC}">
              <c16:uniqueId val="{00000001-FE8E-4CA6-8882-8EB93E4C04B7}"/>
            </c:ext>
          </c:extLst>
        </c:ser>
        <c:ser>
          <c:idx val="2"/>
          <c:order val="2"/>
          <c:tx>
            <c:strRef>
              <c:f>'Q4(Pre-Covid)'!$D$65</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'Q4(Pre-Covid)'!$E$62:$F$62</c:f>
              <c:strCache>
                <c:ptCount val="2"/>
                <c:pt idx="0">
                  <c:v>YOY Inflation (2018-2019)</c:v>
                </c:pt>
                <c:pt idx="1">
                  <c:v>YOY Inflation (2019-2020)</c:v>
                </c:pt>
              </c:strCache>
            </c:strRef>
          </c:cat>
          <c:val>
            <c:numRef>
              <c:f>'Q4(Pre-Covid)'!$E$65:$F$65</c:f>
              <c:numCache>
                <c:formatCode>0.0%</c:formatCode>
                <c:ptCount val="2"/>
                <c:pt idx="0">
                  <c:v>2.2647613912105784E-2</c:v>
                </c:pt>
                <c:pt idx="1">
                  <c:v>6.9254984260230787E-2</c:v>
                </c:pt>
              </c:numCache>
            </c:numRef>
          </c:val>
          <c:extLst>
            <c:ext xmlns:c16="http://schemas.microsoft.com/office/drawing/2014/chart" uri="{C3380CC4-5D6E-409C-BE32-E72D297353CC}">
              <c16:uniqueId val="{00000002-FE8E-4CA6-8882-8EB93E4C04B7}"/>
            </c:ext>
          </c:extLst>
        </c:ser>
        <c:dLbls>
          <c:dLblPos val="outEnd"/>
          <c:showLegendKey val="0"/>
          <c:showVal val="1"/>
          <c:showCatName val="0"/>
          <c:showSerName val="0"/>
          <c:showPercent val="0"/>
          <c:showBubbleSize val="0"/>
        </c:dLbls>
        <c:gapWidth val="219"/>
        <c:overlap val="-27"/>
        <c:axId val="1278980240"/>
        <c:axId val="1278980720"/>
      </c:barChart>
      <c:catAx>
        <c:axId val="1278980240"/>
        <c:scaling>
          <c:orientation val="minMax"/>
        </c:scaling>
        <c:delete val="0"/>
        <c:axPos val="b"/>
        <c:numFmt formatCode="General" sourceLinked="1"/>
        <c:majorTickMark val="none"/>
        <c:minorTickMark val="none"/>
        <c:tickLblPos val="low"/>
        <c:spPr>
          <a:noFill/>
          <a:ln w="12700" cap="flat" cmpd="sng" algn="ctr">
            <a:solidFill>
              <a:schemeClr val="bg2">
                <a:lumMod val="10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278980720"/>
        <c:crosses val="autoZero"/>
        <c:auto val="1"/>
        <c:lblAlgn val="ctr"/>
        <c:lblOffset val="100"/>
        <c:noMultiLvlLbl val="0"/>
      </c:catAx>
      <c:valAx>
        <c:axId val="1278980720"/>
        <c:scaling>
          <c:orientation val="minMax"/>
        </c:scaling>
        <c:delete val="1"/>
        <c:axPos val="l"/>
        <c:numFmt formatCode="0.0%" sourceLinked="1"/>
        <c:majorTickMark val="none"/>
        <c:minorTickMark val="none"/>
        <c:tickLblPos val="nextTo"/>
        <c:crossAx val="1278980240"/>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'Q4(Post-Covid)'!$D$4:$I$4</c:f>
          <c:strCache>
            <c:ptCount val="6"/>
            <c:pt idx="0">
              <c:v>POST_COVID(Rural)</c:v>
            </c:pt>
          </c:strCache>
        </c:strRef>
      </c:tx>
      <c:overlay val="0"/>
      <c:spPr>
        <a:noFill/>
        <a:ln>
          <a:noFill/>
        </a:ln>
        <a:effectLst/>
      </c:spPr>
      <c:txPr>
        <a:bodyPr rot="0" spcFirstLastPara="1" vertOverflow="ellipsis" vert="horz" wrap="square" anchor="ctr" anchorCtr="1"/>
        <a:lstStyle/>
        <a:p>
          <a:pPr>
            <a:defRPr sz="1400" b="1" i="0" u="sng" strike="noStrike" kern="1200" spc="0" baseline="0">
              <a:solidFill>
                <a:schemeClr val="accent5">
                  <a:lumMod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'Q4(Post-Covid)'!$D$11</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'Q4(Post-Covid)'!$E$10:$F$10</c:f>
              <c:strCache>
                <c:ptCount val="2"/>
                <c:pt idx="0">
                  <c:v>YOY Inflation (2020-2021)</c:v>
                </c:pt>
                <c:pt idx="1">
                  <c:v>YOY Inflation (2021-2022)</c:v>
                </c:pt>
              </c:strCache>
            </c:strRef>
          </c:cat>
          <c:val>
            <c:numRef>
              <c:f>'Q4(Post-Covid)'!$E$11:$F$11</c:f>
              <c:numCache>
                <c:formatCode>0.0%</c:formatCode>
                <c:ptCount val="2"/>
                <c:pt idx="0">
                  <c:v>4.8500319081046732E-2</c:v>
                </c:pt>
                <c:pt idx="1">
                  <c:v>6.5006075334143487E-2</c:v>
                </c:pt>
              </c:numCache>
            </c:numRef>
          </c:val>
          <c:extLst>
            <c:ext xmlns:c16="http://schemas.microsoft.com/office/drawing/2014/chart" uri="{C3380CC4-5D6E-409C-BE32-E72D297353CC}">
              <c16:uniqueId val="{00000000-544D-4413-9DC6-CFC870B8E56B}"/>
            </c:ext>
          </c:extLst>
        </c:ser>
        <c:ser>
          <c:idx val="1"/>
          <c:order val="1"/>
          <c:tx>
            <c:strRef>
              <c:f>'Q4(Post-Covid)'!$D$12</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'Q4(Post-Covid)'!$E$10:$F$10</c:f>
              <c:strCache>
                <c:ptCount val="2"/>
                <c:pt idx="0">
                  <c:v>YOY Inflation (2020-2021)</c:v>
                </c:pt>
                <c:pt idx="1">
                  <c:v>YOY Inflation (2021-2022)</c:v>
                </c:pt>
              </c:strCache>
            </c:strRef>
          </c:cat>
          <c:val>
            <c:numRef>
              <c:f>'Q4(Post-Covid)'!$E$12:$F$12</c:f>
              <c:numCache>
                <c:formatCode>0.0%</c:formatCode>
                <c:ptCount val="2"/>
                <c:pt idx="0">
                  <c:v>6.3151895126816862E-2</c:v>
                </c:pt>
                <c:pt idx="1">
                  <c:v>6.1551659428448847E-2</c:v>
                </c:pt>
              </c:numCache>
            </c:numRef>
          </c:val>
          <c:extLst>
            <c:ext xmlns:c16="http://schemas.microsoft.com/office/drawing/2014/chart" uri="{C3380CC4-5D6E-409C-BE32-E72D297353CC}">
              <c16:uniqueId val="{00000001-544D-4413-9DC6-CFC870B8E56B}"/>
            </c:ext>
          </c:extLst>
        </c:ser>
        <c:ser>
          <c:idx val="2"/>
          <c:order val="2"/>
          <c:tx>
            <c:strRef>
              <c:f>'Q4(Post-Covid)'!$D$13</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'Q4(Post-Covid)'!$E$10:$F$10</c:f>
              <c:strCache>
                <c:ptCount val="2"/>
                <c:pt idx="0">
                  <c:v>YOY Inflation (2020-2021)</c:v>
                </c:pt>
                <c:pt idx="1">
                  <c:v>YOY Inflation (2021-2022)</c:v>
                </c:pt>
              </c:strCache>
            </c:strRef>
          </c:cat>
          <c:val>
            <c:numRef>
              <c:f>'Q4(Post-Covid)'!$E$13:$F$13</c:f>
              <c:numCache>
                <c:formatCode>0.0%</c:formatCode>
                <c:ptCount val="2"/>
                <c:pt idx="0">
                  <c:v>5.8715173842965554E-2</c:v>
                </c:pt>
                <c:pt idx="1">
                  <c:v>7.1025195482189496E-2</c:v>
                </c:pt>
              </c:numCache>
            </c:numRef>
          </c:val>
          <c:extLst>
            <c:ext xmlns:c16="http://schemas.microsoft.com/office/drawing/2014/chart" uri="{C3380CC4-5D6E-409C-BE32-E72D297353CC}">
              <c16:uniqueId val="{00000002-544D-4413-9DC6-CFC870B8E56B}"/>
            </c:ext>
          </c:extLst>
        </c:ser>
        <c:dLbls>
          <c:dLblPos val="outEnd"/>
          <c:showLegendKey val="0"/>
          <c:showVal val="1"/>
          <c:showCatName val="0"/>
          <c:showSerName val="0"/>
          <c:showPercent val="0"/>
          <c:showBubbleSize val="0"/>
        </c:dLbls>
        <c:gapWidth val="219"/>
        <c:overlap val="-27"/>
        <c:axId val="1317216608"/>
        <c:axId val="1317218528"/>
      </c:barChart>
      <c:catAx>
        <c:axId val="1317216608"/>
        <c:scaling>
          <c:orientation val="minMax"/>
        </c:scaling>
        <c:delete val="0"/>
        <c:axPos val="b"/>
        <c:numFmt formatCode="General" sourceLinked="1"/>
        <c:majorTickMark val="none"/>
        <c:minorTickMark val="none"/>
        <c:tickLblPos val="low"/>
        <c:spPr>
          <a:noFill/>
          <a:ln w="12700" cap="flat" cmpd="sng" algn="ctr">
            <a:solidFill>
              <a:schemeClr val="bg2">
                <a:lumMod val="10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17218528"/>
        <c:crosses val="autoZero"/>
        <c:auto val="1"/>
        <c:lblAlgn val="ctr"/>
        <c:lblOffset val="100"/>
        <c:noMultiLvlLbl val="0"/>
      </c:catAx>
      <c:valAx>
        <c:axId val="1317218528"/>
        <c:scaling>
          <c:orientation val="minMax"/>
        </c:scaling>
        <c:delete val="1"/>
        <c:axPos val="l"/>
        <c:numFmt formatCode="0.0%" sourceLinked="1"/>
        <c:majorTickMark val="none"/>
        <c:minorTickMark val="none"/>
        <c:tickLblPos val="nextTo"/>
        <c:crossAx val="1317216608"/>
        <c:crosses val="autoZero"/>
        <c:crossBetween val="between"/>
      </c:valAx>
      <c:spPr>
        <a:noFill/>
        <a:ln>
          <a:noFill/>
        </a:ln>
        <a:effectLst/>
      </c:spPr>
    </c:plotArea>
    <c:legend>
      <c:legendPos val="tr"/>
      <c:layout>
        <c:manualLayout>
          <c:xMode val="edge"/>
          <c:yMode val="edge"/>
          <c:x val="0.83699670014074323"/>
          <c:y val="0.15823471400394476"/>
          <c:w val="0.14488735783027121"/>
          <c:h val="0.284148689993632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'Q4(Post-Covid)'!$D$24:$I$24</c:f>
          <c:strCache>
            <c:ptCount val="6"/>
            <c:pt idx="0">
              <c:v>POST_COVID(Rural+Urban)</c:v>
            </c:pt>
          </c:strCache>
        </c:strRef>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accent5">
                  <a:lumMod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'Q4(Post-Covid)'!$D$32</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'Q4(Post-Covid)'!$E$31:$F$31</c:f>
              <c:strCache>
                <c:ptCount val="2"/>
                <c:pt idx="0">
                  <c:v>YOY Inflation (2020-2021)</c:v>
                </c:pt>
                <c:pt idx="1">
                  <c:v>YOY Inflation (2021-2022)</c:v>
                </c:pt>
              </c:strCache>
            </c:strRef>
          </c:cat>
          <c:val>
            <c:numRef>
              <c:f>'Q4(Post-Covid)'!$E$32:$F$32</c:f>
              <c:numCache>
                <c:formatCode>0.0%</c:formatCode>
                <c:ptCount val="2"/>
                <c:pt idx="0">
                  <c:v>5.9093893630991462E-2</c:v>
                </c:pt>
                <c:pt idx="1">
                  <c:v>6.4935064935064943E-2</c:v>
                </c:pt>
              </c:numCache>
            </c:numRef>
          </c:val>
          <c:extLst>
            <c:ext xmlns:c16="http://schemas.microsoft.com/office/drawing/2014/chart" uri="{C3380CC4-5D6E-409C-BE32-E72D297353CC}">
              <c16:uniqueId val="{00000000-9581-4DAA-B59A-7C3413C1BAE4}"/>
            </c:ext>
          </c:extLst>
        </c:ser>
        <c:ser>
          <c:idx val="1"/>
          <c:order val="1"/>
          <c:tx>
            <c:strRef>
              <c:f>'Q4(Post-Covid)'!$D$33</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'Q4(Post-Covid)'!$E$31:$F$31</c:f>
              <c:strCache>
                <c:ptCount val="2"/>
                <c:pt idx="0">
                  <c:v>YOY Inflation (2020-2021)</c:v>
                </c:pt>
                <c:pt idx="1">
                  <c:v>YOY Inflation (2021-2022)</c:v>
                </c:pt>
              </c:strCache>
            </c:strRef>
          </c:cat>
          <c:val>
            <c:numRef>
              <c:f>'Q4(Post-Covid)'!$E$33:$F$33</c:f>
              <c:numCache>
                <c:formatCode>0.0%</c:formatCode>
                <c:ptCount val="2"/>
                <c:pt idx="0">
                  <c:v>7.1132086200034195E-2</c:v>
                </c:pt>
                <c:pt idx="1">
                  <c:v>6.0332465877104662E-2</c:v>
                </c:pt>
              </c:numCache>
            </c:numRef>
          </c:val>
          <c:extLst>
            <c:ext xmlns:c16="http://schemas.microsoft.com/office/drawing/2014/chart" uri="{C3380CC4-5D6E-409C-BE32-E72D297353CC}">
              <c16:uniqueId val="{00000001-9581-4DAA-B59A-7C3413C1BAE4}"/>
            </c:ext>
          </c:extLst>
        </c:ser>
        <c:ser>
          <c:idx val="2"/>
          <c:order val="2"/>
          <c:tx>
            <c:strRef>
              <c:f>'Q4(Post-Covid)'!$D$34</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'Q4(Post-Covid)'!$E$31:$F$31</c:f>
              <c:strCache>
                <c:ptCount val="2"/>
                <c:pt idx="0">
                  <c:v>YOY Inflation (2020-2021)</c:v>
                </c:pt>
                <c:pt idx="1">
                  <c:v>YOY Inflation (2021-2022)</c:v>
                </c:pt>
              </c:strCache>
            </c:strRef>
          </c:cat>
          <c:val>
            <c:numRef>
              <c:f>'Q4(Post-Covid)'!$E$34:$F$34</c:f>
              <c:numCache>
                <c:formatCode>0.0%</c:formatCode>
                <c:ptCount val="2"/>
                <c:pt idx="0">
                  <c:v>6.9103773584905687E-2</c:v>
                </c:pt>
                <c:pt idx="1">
                  <c:v>6.9154774972557634E-2</c:v>
                </c:pt>
              </c:numCache>
            </c:numRef>
          </c:val>
          <c:extLst>
            <c:ext xmlns:c16="http://schemas.microsoft.com/office/drawing/2014/chart" uri="{C3380CC4-5D6E-409C-BE32-E72D297353CC}">
              <c16:uniqueId val="{00000002-9581-4DAA-B59A-7C3413C1BAE4}"/>
            </c:ext>
          </c:extLst>
        </c:ser>
        <c:dLbls>
          <c:dLblPos val="outEnd"/>
          <c:showLegendKey val="0"/>
          <c:showVal val="1"/>
          <c:showCatName val="0"/>
          <c:showSerName val="0"/>
          <c:showPercent val="0"/>
          <c:showBubbleSize val="0"/>
        </c:dLbls>
        <c:gapWidth val="219"/>
        <c:overlap val="-27"/>
        <c:axId val="1317215168"/>
        <c:axId val="1317219008"/>
      </c:barChart>
      <c:catAx>
        <c:axId val="1317215168"/>
        <c:scaling>
          <c:orientation val="minMax"/>
        </c:scaling>
        <c:delete val="0"/>
        <c:axPos val="b"/>
        <c:numFmt formatCode="General" sourceLinked="1"/>
        <c:majorTickMark val="none"/>
        <c:minorTickMark val="none"/>
        <c:tickLblPos val="low"/>
        <c:spPr>
          <a:noFill/>
          <a:ln w="12700" cap="flat" cmpd="sng" algn="ctr">
            <a:solidFill>
              <a:schemeClr val="bg2">
                <a:lumMod val="10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17219008"/>
        <c:crosses val="autoZero"/>
        <c:auto val="1"/>
        <c:lblAlgn val="ctr"/>
        <c:lblOffset val="100"/>
        <c:noMultiLvlLbl val="0"/>
      </c:catAx>
      <c:valAx>
        <c:axId val="1317219008"/>
        <c:scaling>
          <c:orientation val="minMax"/>
        </c:scaling>
        <c:delete val="1"/>
        <c:axPos val="l"/>
        <c:numFmt formatCode="0.0%" sourceLinked="1"/>
        <c:majorTickMark val="none"/>
        <c:minorTickMark val="none"/>
        <c:tickLblPos val="nextTo"/>
        <c:crossAx val="1317215168"/>
        <c:crosses val="autoZero"/>
        <c:crossBetween val="between"/>
      </c:valAx>
      <c:spPr>
        <a:noFill/>
        <a:ln>
          <a:noFill/>
        </a:ln>
        <a:effectLst/>
      </c:spPr>
    </c:plotArea>
    <c:legend>
      <c:legendPos val="tr"/>
      <c:layout>
        <c:manualLayout>
          <c:xMode val="edge"/>
          <c:yMode val="edge"/>
          <c:x val="0.84486582496153495"/>
          <c:y val="0.13497757847533631"/>
          <c:w val="0.13789279572812019"/>
          <c:h val="0.27715672312261413"/>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'Q4(Post-Covid)'!$D$48:$I$48</c:f>
          <c:strCache>
            <c:ptCount val="6"/>
            <c:pt idx="0">
              <c:v>POST_COVID(Urban)</c:v>
            </c:pt>
          </c:strCache>
        </c:strRef>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accent5">
                  <a:lumMod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'Q4(Post-Covid)'!$D$56</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'Q4(Post-Covid)'!$E$55:$F$55</c:f>
              <c:strCache>
                <c:ptCount val="2"/>
                <c:pt idx="0">
                  <c:v>YOY Inflation (2020-2021)</c:v>
                </c:pt>
                <c:pt idx="1">
                  <c:v>YOY Inflation (2021-2022)</c:v>
                </c:pt>
              </c:strCache>
            </c:strRef>
          </c:cat>
          <c:val>
            <c:numRef>
              <c:f>'Q4(Post-Covid)'!$E$56:$F$56</c:f>
              <c:numCache>
                <c:formatCode>0.0%</c:formatCode>
                <c:ptCount val="2"/>
                <c:pt idx="0">
                  <c:v>7.7931034482758704E-2</c:v>
                </c:pt>
                <c:pt idx="1">
                  <c:v>6.5646908859145842E-2</c:v>
                </c:pt>
              </c:numCache>
            </c:numRef>
          </c:val>
          <c:extLst>
            <c:ext xmlns:c16="http://schemas.microsoft.com/office/drawing/2014/chart" uri="{C3380CC4-5D6E-409C-BE32-E72D297353CC}">
              <c16:uniqueId val="{00000000-44E2-4549-8AE1-2E776DC9AA31}"/>
            </c:ext>
          </c:extLst>
        </c:ser>
        <c:ser>
          <c:idx val="1"/>
          <c:order val="1"/>
          <c:tx>
            <c:strRef>
              <c:f>'Q4(Post-Covid)'!$D$57</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'Q4(Post-Covid)'!$E$55:$F$55</c:f>
              <c:strCache>
                <c:ptCount val="2"/>
                <c:pt idx="0">
                  <c:v>YOY Inflation (2020-2021)</c:v>
                </c:pt>
                <c:pt idx="1">
                  <c:v>YOY Inflation (2021-2022)</c:v>
                </c:pt>
              </c:strCache>
            </c:strRef>
          </c:cat>
          <c:val>
            <c:numRef>
              <c:f>'Q4(Post-Covid)'!$E$57:$F$57</c:f>
              <c:numCache>
                <c:formatCode>0.0%</c:formatCode>
                <c:ptCount val="2"/>
                <c:pt idx="0">
                  <c:v>8.5022076304766242E-2</c:v>
                </c:pt>
                <c:pt idx="1">
                  <c:v>5.9044832270874828E-2</c:v>
                </c:pt>
              </c:numCache>
            </c:numRef>
          </c:val>
          <c:extLst>
            <c:ext xmlns:c16="http://schemas.microsoft.com/office/drawing/2014/chart" uri="{C3380CC4-5D6E-409C-BE32-E72D297353CC}">
              <c16:uniqueId val="{00000001-44E2-4549-8AE1-2E776DC9AA31}"/>
            </c:ext>
          </c:extLst>
        </c:ser>
        <c:ser>
          <c:idx val="2"/>
          <c:order val="2"/>
          <c:tx>
            <c:strRef>
              <c:f>'Q4(Post-Covid)'!$D$58</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'Q4(Post-Covid)'!$E$55:$F$55</c:f>
              <c:strCache>
                <c:ptCount val="2"/>
                <c:pt idx="0">
                  <c:v>YOY Inflation (2020-2021)</c:v>
                </c:pt>
                <c:pt idx="1">
                  <c:v>YOY Inflation (2021-2022)</c:v>
                </c:pt>
              </c:strCache>
            </c:strRef>
          </c:cat>
          <c:val>
            <c:numRef>
              <c:f>'Q4(Post-Covid)'!$E$58:$F$58</c:f>
              <c:numCache>
                <c:formatCode>0.0%</c:formatCode>
                <c:ptCount val="2"/>
                <c:pt idx="0">
                  <c:v>8.5096036955993187E-2</c:v>
                </c:pt>
                <c:pt idx="1">
                  <c:v>6.4023039432875573E-2</c:v>
                </c:pt>
              </c:numCache>
            </c:numRef>
          </c:val>
          <c:extLst>
            <c:ext xmlns:c16="http://schemas.microsoft.com/office/drawing/2014/chart" uri="{C3380CC4-5D6E-409C-BE32-E72D297353CC}">
              <c16:uniqueId val="{00000002-44E2-4549-8AE1-2E776DC9AA31}"/>
            </c:ext>
          </c:extLst>
        </c:ser>
        <c:dLbls>
          <c:dLblPos val="outEnd"/>
          <c:showLegendKey val="0"/>
          <c:showVal val="1"/>
          <c:showCatName val="0"/>
          <c:showSerName val="0"/>
          <c:showPercent val="0"/>
          <c:showBubbleSize val="0"/>
        </c:dLbls>
        <c:gapWidth val="219"/>
        <c:overlap val="-27"/>
        <c:axId val="1149170208"/>
        <c:axId val="1149162528"/>
      </c:barChart>
      <c:catAx>
        <c:axId val="1149170208"/>
        <c:scaling>
          <c:orientation val="minMax"/>
        </c:scaling>
        <c:delete val="0"/>
        <c:axPos val="b"/>
        <c:numFmt formatCode="General" sourceLinked="1"/>
        <c:majorTickMark val="none"/>
        <c:minorTickMark val="none"/>
        <c:tickLblPos val="low"/>
        <c:spPr>
          <a:noFill/>
          <a:ln w="12700" cap="flat" cmpd="sng" algn="ctr">
            <a:solidFill>
              <a:schemeClr val="bg2">
                <a:lumMod val="10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49162528"/>
        <c:crosses val="autoZero"/>
        <c:auto val="1"/>
        <c:lblAlgn val="ctr"/>
        <c:lblOffset val="100"/>
        <c:noMultiLvlLbl val="0"/>
      </c:catAx>
      <c:valAx>
        <c:axId val="1149162528"/>
        <c:scaling>
          <c:orientation val="minMax"/>
        </c:scaling>
        <c:delete val="1"/>
        <c:axPos val="l"/>
        <c:numFmt formatCode="0.0%" sourceLinked="1"/>
        <c:majorTickMark val="none"/>
        <c:minorTickMark val="none"/>
        <c:tickLblPos val="nextTo"/>
        <c:crossAx val="1149170208"/>
        <c:crosses val="autoZero"/>
        <c:crossBetween val="between"/>
      </c:valAx>
      <c:spPr>
        <a:noFill/>
        <a:ln>
          <a:noFill/>
        </a:ln>
        <a:effectLst/>
      </c:spPr>
    </c:plotArea>
    <c:legend>
      <c:legendPos val="tr"/>
      <c:layout>
        <c:manualLayout>
          <c:xMode val="edge"/>
          <c:yMode val="edge"/>
          <c:x val="0.85003696412948382"/>
          <c:y val="0.11615740740740743"/>
          <c:w val="0.13329636920384952"/>
          <c:h val="0.26678404782735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'Q4(Pre-Covid)'!$D$10:$I$10</c:f>
          <c:strCache>
            <c:ptCount val="6"/>
            <c:pt idx="0">
              <c:v>PRE_COVID(Rural)</c:v>
            </c:pt>
          </c:strCache>
        </c:strRef>
      </c:tx>
      <c:overlay val="0"/>
      <c:spPr>
        <a:noFill/>
        <a:ln>
          <a:noFill/>
        </a:ln>
        <a:effectLst/>
      </c:spPr>
      <c:txPr>
        <a:bodyPr rot="0" spcFirstLastPara="1" vertOverflow="ellipsis" vert="horz" wrap="square" anchor="ctr" anchorCtr="1"/>
        <a:lstStyle/>
        <a:p>
          <a:pPr>
            <a:defRPr sz="1400" b="1" i="0" u="sng"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8.8285019536996398E-2"/>
          <c:y val="0.470428593559297"/>
          <c:w val="0.79058355825431192"/>
          <c:h val="0.43739838222327754"/>
        </c:manualLayout>
      </c:layout>
      <c:barChart>
        <c:barDir val="col"/>
        <c:grouping val="clustered"/>
        <c:varyColors val="0"/>
        <c:ser>
          <c:idx val="0"/>
          <c:order val="0"/>
          <c:tx>
            <c:strRef>
              <c:f>'Q4(Pre-Covid)'!$D$17</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'Q4(Pre-Covid)'!$E$16:$F$16</c:f>
              <c:strCache>
                <c:ptCount val="2"/>
                <c:pt idx="0">
                  <c:v>YOY Inflation (2018-2019)</c:v>
                </c:pt>
                <c:pt idx="1">
                  <c:v>YOY Inflation (2019-2020)</c:v>
                </c:pt>
              </c:strCache>
            </c:strRef>
          </c:cat>
          <c:val>
            <c:numRef>
              <c:f>'Q4(Pre-Covid)'!$E$17:$F$17</c:f>
              <c:numCache>
                <c:formatCode>0.0%</c:formatCode>
                <c:ptCount val="2"/>
                <c:pt idx="0">
                  <c:v>9.6561814191660697E-2</c:v>
                </c:pt>
                <c:pt idx="1">
                  <c:v>3.8563829787233925E-2</c:v>
                </c:pt>
              </c:numCache>
            </c:numRef>
          </c:val>
          <c:extLst>
            <c:ext xmlns:c16="http://schemas.microsoft.com/office/drawing/2014/chart" uri="{C3380CC4-5D6E-409C-BE32-E72D297353CC}">
              <c16:uniqueId val="{00000000-919A-4898-8582-41990B8F2605}"/>
            </c:ext>
          </c:extLst>
        </c:ser>
        <c:ser>
          <c:idx val="1"/>
          <c:order val="1"/>
          <c:tx>
            <c:strRef>
              <c:f>'Q4(Pre-Covid)'!$D$18</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'Q4(Pre-Covid)'!$E$16:$F$16</c:f>
              <c:strCache>
                <c:ptCount val="2"/>
                <c:pt idx="0">
                  <c:v>YOY Inflation (2018-2019)</c:v>
                </c:pt>
                <c:pt idx="1">
                  <c:v>YOY Inflation (2019-2020)</c:v>
                </c:pt>
              </c:strCache>
            </c:strRef>
          </c:cat>
          <c:val>
            <c:numRef>
              <c:f>'Q4(Pre-Covid)'!$E$18:$F$18</c:f>
              <c:numCache>
                <c:formatCode>0.0%</c:formatCode>
                <c:ptCount val="2"/>
                <c:pt idx="0">
                  <c:v>-1.7203779985461378E-2</c:v>
                </c:pt>
                <c:pt idx="1">
                  <c:v>8.9850966867840637E-2</c:v>
                </c:pt>
              </c:numCache>
            </c:numRef>
          </c:val>
          <c:extLst>
            <c:ext xmlns:c16="http://schemas.microsoft.com/office/drawing/2014/chart" uri="{C3380CC4-5D6E-409C-BE32-E72D297353CC}">
              <c16:uniqueId val="{00000001-919A-4898-8582-41990B8F2605}"/>
            </c:ext>
          </c:extLst>
        </c:ser>
        <c:ser>
          <c:idx val="2"/>
          <c:order val="2"/>
          <c:tx>
            <c:strRef>
              <c:f>'Q4(Pre-Covid)'!$D$19</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'Q4(Pre-Covid)'!$E$16:$F$16</c:f>
              <c:strCache>
                <c:ptCount val="2"/>
                <c:pt idx="0">
                  <c:v>YOY Inflation (2018-2019)</c:v>
                </c:pt>
                <c:pt idx="1">
                  <c:v>YOY Inflation (2019-2020)</c:v>
                </c:pt>
              </c:strCache>
            </c:strRef>
          </c:cat>
          <c:val>
            <c:numRef>
              <c:f>'Q4(Pre-Covid)'!$E$19:$F$19</c:f>
              <c:numCache>
                <c:formatCode>0.0%</c:formatCode>
                <c:ptCount val="2"/>
                <c:pt idx="0">
                  <c:v>3.2534678436317722E-2</c:v>
                </c:pt>
                <c:pt idx="1">
                  <c:v>5.2156958323178244E-2</c:v>
                </c:pt>
              </c:numCache>
            </c:numRef>
          </c:val>
          <c:extLst>
            <c:ext xmlns:c16="http://schemas.microsoft.com/office/drawing/2014/chart" uri="{C3380CC4-5D6E-409C-BE32-E72D297353CC}">
              <c16:uniqueId val="{00000002-919A-4898-8582-41990B8F2605}"/>
            </c:ext>
          </c:extLst>
        </c:ser>
        <c:dLbls>
          <c:dLblPos val="outEnd"/>
          <c:showLegendKey val="0"/>
          <c:showVal val="1"/>
          <c:showCatName val="0"/>
          <c:showSerName val="0"/>
          <c:showPercent val="0"/>
          <c:showBubbleSize val="0"/>
        </c:dLbls>
        <c:gapWidth val="219"/>
        <c:overlap val="-27"/>
        <c:axId val="1272744096"/>
        <c:axId val="1272752256"/>
      </c:barChart>
      <c:catAx>
        <c:axId val="1272744096"/>
        <c:scaling>
          <c:orientation val="minMax"/>
        </c:scaling>
        <c:delete val="0"/>
        <c:axPos val="b"/>
        <c:numFmt formatCode="General" sourceLinked="1"/>
        <c:majorTickMark val="none"/>
        <c:minorTickMark val="none"/>
        <c:tickLblPos val="none"/>
        <c:spPr>
          <a:noFill/>
          <a:ln w="15875" cap="flat" cmpd="sng" algn="ctr">
            <a:solidFill>
              <a:schemeClr val="bg2">
                <a:lumMod val="10000"/>
              </a:schemeClr>
            </a:solid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272752256"/>
        <c:crosses val="autoZero"/>
        <c:auto val="1"/>
        <c:lblAlgn val="ctr"/>
        <c:lblOffset val="100"/>
        <c:noMultiLvlLbl val="0"/>
      </c:catAx>
      <c:valAx>
        <c:axId val="1272752256"/>
        <c:scaling>
          <c:orientation val="minMax"/>
        </c:scaling>
        <c:delete val="1"/>
        <c:axPos val="l"/>
        <c:numFmt formatCode="0.0%" sourceLinked="1"/>
        <c:majorTickMark val="out"/>
        <c:minorTickMark val="none"/>
        <c:tickLblPos val="nextTo"/>
        <c:crossAx val="1272744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95000"/>
          <a:lumOff val="5000"/>
        </a:schemeClr>
      </a:solidFill>
      <a:round/>
    </a:ln>
    <a:effectLst>
      <a:glow rad="228600">
        <a:schemeClr val="bg1">
          <a:alpha val="40000"/>
        </a:schemeClr>
      </a:glow>
      <a:outerShdw blurRad="63500" sx="102000" sy="102000" algn="ctr" rotWithShape="0">
        <a:schemeClr val="bg1">
          <a:alpha val="40000"/>
        </a:schemeClr>
      </a:outerShdw>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'Q4(Post-Covid)'!$D$4:$I$4</c:f>
          <c:strCache>
            <c:ptCount val="6"/>
            <c:pt idx="0">
              <c:v>POST_COVID(Rural)</c:v>
            </c:pt>
          </c:strCache>
        </c:strRef>
      </c:tx>
      <c:overlay val="0"/>
      <c:spPr>
        <a:noFill/>
        <a:ln>
          <a:noFill/>
        </a:ln>
        <a:effectLst/>
      </c:spPr>
      <c:txPr>
        <a:bodyPr rot="0" spcFirstLastPara="1" vertOverflow="ellipsis" vert="horz" wrap="square" anchor="ctr" anchorCtr="1"/>
        <a:lstStyle/>
        <a:p>
          <a:pPr>
            <a:defRPr sz="1400" b="1" i="0" u="sng" strike="noStrike" kern="1200" spc="0" baseline="0">
              <a:solidFill>
                <a:schemeClr val="accent5">
                  <a:lumMod val="50000"/>
                </a:schemeClr>
              </a:solidFill>
              <a:latin typeface="+mn-lt"/>
              <a:ea typeface="+mn-ea"/>
              <a:cs typeface="+mn-cs"/>
            </a:defRPr>
          </a:pPr>
          <a:endParaRPr lang="en-US"/>
        </a:p>
      </c:txPr>
    </c:title>
    <c:autoTitleDeleted val="0"/>
    <c:plotArea>
      <c:layout>
        <c:manualLayout>
          <c:layoutTarget val="inner"/>
          <c:xMode val="edge"/>
          <c:yMode val="edge"/>
          <c:x val="2.0756776546150015E-2"/>
          <c:y val="0.35333773848760563"/>
          <c:w val="0.80284514933949114"/>
          <c:h val="0.45297957188283355"/>
        </c:manualLayout>
      </c:layout>
      <c:barChart>
        <c:barDir val="col"/>
        <c:grouping val="clustered"/>
        <c:varyColors val="0"/>
        <c:ser>
          <c:idx val="0"/>
          <c:order val="0"/>
          <c:tx>
            <c:strRef>
              <c:f>'Q4(Post-Covid)'!$D$11</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'Q4(Post-Covid)'!$E$10:$F$10</c:f>
              <c:strCache>
                <c:ptCount val="2"/>
                <c:pt idx="0">
                  <c:v>YOY Inflation (2020-2021)</c:v>
                </c:pt>
                <c:pt idx="1">
                  <c:v>YOY Inflation (2021-2022)</c:v>
                </c:pt>
              </c:strCache>
            </c:strRef>
          </c:cat>
          <c:val>
            <c:numRef>
              <c:f>'Q4(Post-Covid)'!$E$11:$F$11</c:f>
              <c:numCache>
                <c:formatCode>0.0%</c:formatCode>
                <c:ptCount val="2"/>
                <c:pt idx="0">
                  <c:v>4.8500319081046732E-2</c:v>
                </c:pt>
                <c:pt idx="1">
                  <c:v>6.5006075334143487E-2</c:v>
                </c:pt>
              </c:numCache>
            </c:numRef>
          </c:val>
          <c:extLst>
            <c:ext xmlns:c16="http://schemas.microsoft.com/office/drawing/2014/chart" uri="{C3380CC4-5D6E-409C-BE32-E72D297353CC}">
              <c16:uniqueId val="{00000000-458C-4A77-B221-B9A2D9323AF9}"/>
            </c:ext>
          </c:extLst>
        </c:ser>
        <c:ser>
          <c:idx val="1"/>
          <c:order val="1"/>
          <c:tx>
            <c:strRef>
              <c:f>'Q4(Post-Covid)'!$D$12</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'Q4(Post-Covid)'!$E$10:$F$10</c:f>
              <c:strCache>
                <c:ptCount val="2"/>
                <c:pt idx="0">
                  <c:v>YOY Inflation (2020-2021)</c:v>
                </c:pt>
                <c:pt idx="1">
                  <c:v>YOY Inflation (2021-2022)</c:v>
                </c:pt>
              </c:strCache>
            </c:strRef>
          </c:cat>
          <c:val>
            <c:numRef>
              <c:f>'Q4(Post-Covid)'!$E$12:$F$12</c:f>
              <c:numCache>
                <c:formatCode>0.0%</c:formatCode>
                <c:ptCount val="2"/>
                <c:pt idx="0">
                  <c:v>6.3151895126816862E-2</c:v>
                </c:pt>
                <c:pt idx="1">
                  <c:v>6.1551659428448847E-2</c:v>
                </c:pt>
              </c:numCache>
            </c:numRef>
          </c:val>
          <c:extLst>
            <c:ext xmlns:c16="http://schemas.microsoft.com/office/drawing/2014/chart" uri="{C3380CC4-5D6E-409C-BE32-E72D297353CC}">
              <c16:uniqueId val="{00000001-458C-4A77-B221-B9A2D9323AF9}"/>
            </c:ext>
          </c:extLst>
        </c:ser>
        <c:ser>
          <c:idx val="2"/>
          <c:order val="2"/>
          <c:tx>
            <c:strRef>
              <c:f>'Q4(Post-Covid)'!$D$13</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'Q4(Post-Covid)'!$E$10:$F$10</c:f>
              <c:strCache>
                <c:ptCount val="2"/>
                <c:pt idx="0">
                  <c:v>YOY Inflation (2020-2021)</c:v>
                </c:pt>
                <c:pt idx="1">
                  <c:v>YOY Inflation (2021-2022)</c:v>
                </c:pt>
              </c:strCache>
            </c:strRef>
          </c:cat>
          <c:val>
            <c:numRef>
              <c:f>'Q4(Post-Covid)'!$E$13:$F$13</c:f>
              <c:numCache>
                <c:formatCode>0.0%</c:formatCode>
                <c:ptCount val="2"/>
                <c:pt idx="0">
                  <c:v>5.8715173842965554E-2</c:v>
                </c:pt>
                <c:pt idx="1">
                  <c:v>7.1025195482189496E-2</c:v>
                </c:pt>
              </c:numCache>
            </c:numRef>
          </c:val>
          <c:extLst>
            <c:ext xmlns:c16="http://schemas.microsoft.com/office/drawing/2014/chart" uri="{C3380CC4-5D6E-409C-BE32-E72D297353CC}">
              <c16:uniqueId val="{00000002-458C-4A77-B221-B9A2D9323AF9}"/>
            </c:ext>
          </c:extLst>
        </c:ser>
        <c:dLbls>
          <c:dLblPos val="outEnd"/>
          <c:showLegendKey val="0"/>
          <c:showVal val="1"/>
          <c:showCatName val="0"/>
          <c:showSerName val="0"/>
          <c:showPercent val="0"/>
          <c:showBubbleSize val="0"/>
        </c:dLbls>
        <c:gapWidth val="219"/>
        <c:overlap val="-27"/>
        <c:axId val="1317216608"/>
        <c:axId val="1317218528"/>
      </c:barChart>
      <c:catAx>
        <c:axId val="1317216608"/>
        <c:scaling>
          <c:orientation val="minMax"/>
        </c:scaling>
        <c:delete val="0"/>
        <c:axPos val="b"/>
        <c:numFmt formatCode="General" sourceLinked="1"/>
        <c:majorTickMark val="none"/>
        <c:minorTickMark val="none"/>
        <c:tickLblPos val="none"/>
        <c:spPr>
          <a:noFill/>
          <a:ln w="15875" cap="flat" cmpd="sng" algn="ctr">
            <a:solidFill>
              <a:schemeClr val="bg2">
                <a:lumMod val="10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317218528"/>
        <c:crosses val="autoZero"/>
        <c:auto val="1"/>
        <c:lblAlgn val="ctr"/>
        <c:lblOffset val="100"/>
        <c:noMultiLvlLbl val="0"/>
      </c:catAx>
      <c:valAx>
        <c:axId val="1317218528"/>
        <c:scaling>
          <c:orientation val="minMax"/>
        </c:scaling>
        <c:delete val="1"/>
        <c:axPos val="l"/>
        <c:numFmt formatCode="0.0%" sourceLinked="1"/>
        <c:majorTickMark val="none"/>
        <c:minorTickMark val="none"/>
        <c:tickLblPos val="nextTo"/>
        <c:crossAx val="1317216608"/>
        <c:crosses val="autoZero"/>
        <c:crossBetween val="between"/>
      </c:valAx>
      <c:spPr>
        <a:noFill/>
        <a:ln>
          <a:noFill/>
        </a:ln>
        <a:effectLst/>
      </c:spPr>
    </c:plotArea>
    <c:legend>
      <c:legendPos val="tr"/>
      <c:layout>
        <c:manualLayout>
          <c:xMode val="edge"/>
          <c:yMode val="edge"/>
          <c:x val="0.83699670014074323"/>
          <c:y val="0.15823471400394476"/>
          <c:w val="0.14488735783027121"/>
          <c:h val="0.2841486899936324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95000"/>
          <a:lumOff val="5000"/>
        </a:schemeClr>
      </a:solidFill>
      <a:round/>
    </a:ln>
    <a:effectLst>
      <a:glow rad="228600">
        <a:schemeClr val="bg1">
          <a:alpha val="40000"/>
        </a:schemeClr>
      </a:glow>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'Q4(Post-Covid)'!$D$24:$I$24</c:f>
          <c:strCache>
            <c:ptCount val="6"/>
            <c:pt idx="0">
              <c:v>POST_COVID(Rural+Urban)</c:v>
            </c:pt>
          </c:strCache>
        </c:strRef>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accent5">
                  <a:lumMod val="50000"/>
                </a:schemeClr>
              </a:solidFill>
              <a:latin typeface="+mn-lt"/>
              <a:ea typeface="+mn-ea"/>
              <a:cs typeface="+mn-cs"/>
            </a:defRPr>
          </a:pPr>
          <a:endParaRPr lang="en-US"/>
        </a:p>
      </c:txPr>
    </c:title>
    <c:autoTitleDeleted val="0"/>
    <c:plotArea>
      <c:layout>
        <c:manualLayout>
          <c:layoutTarget val="inner"/>
          <c:xMode val="edge"/>
          <c:yMode val="edge"/>
          <c:x val="3.6509082815043302E-2"/>
          <c:y val="0.27759717350106849"/>
          <c:w val="0.82009707966351686"/>
          <c:h val="0.48441703099529398"/>
        </c:manualLayout>
      </c:layout>
      <c:barChart>
        <c:barDir val="col"/>
        <c:grouping val="clustered"/>
        <c:varyColors val="0"/>
        <c:ser>
          <c:idx val="0"/>
          <c:order val="0"/>
          <c:tx>
            <c:strRef>
              <c:f>'Q4(Post-Covid)'!$D$32</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'Q4(Post-Covid)'!$E$31:$F$31</c:f>
              <c:strCache>
                <c:ptCount val="2"/>
                <c:pt idx="0">
                  <c:v>YOY Inflation (2020-2021)</c:v>
                </c:pt>
                <c:pt idx="1">
                  <c:v>YOY Inflation (2021-2022)</c:v>
                </c:pt>
              </c:strCache>
            </c:strRef>
          </c:cat>
          <c:val>
            <c:numRef>
              <c:f>'Q4(Post-Covid)'!$E$32:$F$32</c:f>
              <c:numCache>
                <c:formatCode>0.0%</c:formatCode>
                <c:ptCount val="2"/>
                <c:pt idx="0">
                  <c:v>5.9093893630991462E-2</c:v>
                </c:pt>
                <c:pt idx="1">
                  <c:v>6.4935064935064943E-2</c:v>
                </c:pt>
              </c:numCache>
            </c:numRef>
          </c:val>
          <c:extLst>
            <c:ext xmlns:c16="http://schemas.microsoft.com/office/drawing/2014/chart" uri="{C3380CC4-5D6E-409C-BE32-E72D297353CC}">
              <c16:uniqueId val="{00000000-9E09-43DD-9E32-57902DBC69C7}"/>
            </c:ext>
          </c:extLst>
        </c:ser>
        <c:ser>
          <c:idx val="1"/>
          <c:order val="1"/>
          <c:tx>
            <c:strRef>
              <c:f>'Q4(Post-Covid)'!$D$33</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'Q4(Post-Covid)'!$E$31:$F$31</c:f>
              <c:strCache>
                <c:ptCount val="2"/>
                <c:pt idx="0">
                  <c:v>YOY Inflation (2020-2021)</c:v>
                </c:pt>
                <c:pt idx="1">
                  <c:v>YOY Inflation (2021-2022)</c:v>
                </c:pt>
              </c:strCache>
            </c:strRef>
          </c:cat>
          <c:val>
            <c:numRef>
              <c:f>'Q4(Post-Covid)'!$E$33:$F$33</c:f>
              <c:numCache>
                <c:formatCode>0.0%</c:formatCode>
                <c:ptCount val="2"/>
                <c:pt idx="0">
                  <c:v>7.1132086200034195E-2</c:v>
                </c:pt>
                <c:pt idx="1">
                  <c:v>6.0332465877104662E-2</c:v>
                </c:pt>
              </c:numCache>
            </c:numRef>
          </c:val>
          <c:extLst>
            <c:ext xmlns:c16="http://schemas.microsoft.com/office/drawing/2014/chart" uri="{C3380CC4-5D6E-409C-BE32-E72D297353CC}">
              <c16:uniqueId val="{00000001-9E09-43DD-9E32-57902DBC69C7}"/>
            </c:ext>
          </c:extLst>
        </c:ser>
        <c:ser>
          <c:idx val="2"/>
          <c:order val="2"/>
          <c:tx>
            <c:strRef>
              <c:f>'Q4(Post-Covid)'!$D$34</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'Q4(Post-Covid)'!$E$31:$F$31</c:f>
              <c:strCache>
                <c:ptCount val="2"/>
                <c:pt idx="0">
                  <c:v>YOY Inflation (2020-2021)</c:v>
                </c:pt>
                <c:pt idx="1">
                  <c:v>YOY Inflation (2021-2022)</c:v>
                </c:pt>
              </c:strCache>
            </c:strRef>
          </c:cat>
          <c:val>
            <c:numRef>
              <c:f>'Q4(Post-Covid)'!$E$34:$F$34</c:f>
              <c:numCache>
                <c:formatCode>0.0%</c:formatCode>
                <c:ptCount val="2"/>
                <c:pt idx="0">
                  <c:v>6.9103773584905687E-2</c:v>
                </c:pt>
                <c:pt idx="1">
                  <c:v>6.9154774972557634E-2</c:v>
                </c:pt>
              </c:numCache>
            </c:numRef>
          </c:val>
          <c:extLst>
            <c:ext xmlns:c16="http://schemas.microsoft.com/office/drawing/2014/chart" uri="{C3380CC4-5D6E-409C-BE32-E72D297353CC}">
              <c16:uniqueId val="{00000002-9E09-43DD-9E32-57902DBC69C7}"/>
            </c:ext>
          </c:extLst>
        </c:ser>
        <c:dLbls>
          <c:dLblPos val="outEnd"/>
          <c:showLegendKey val="0"/>
          <c:showVal val="1"/>
          <c:showCatName val="0"/>
          <c:showSerName val="0"/>
          <c:showPercent val="0"/>
          <c:showBubbleSize val="0"/>
        </c:dLbls>
        <c:gapWidth val="219"/>
        <c:overlap val="-27"/>
        <c:axId val="1317215168"/>
        <c:axId val="1317219008"/>
      </c:barChart>
      <c:catAx>
        <c:axId val="1317215168"/>
        <c:scaling>
          <c:orientation val="minMax"/>
        </c:scaling>
        <c:delete val="0"/>
        <c:axPos val="b"/>
        <c:numFmt formatCode="General" sourceLinked="1"/>
        <c:majorTickMark val="none"/>
        <c:minorTickMark val="none"/>
        <c:tickLblPos val="none"/>
        <c:spPr>
          <a:noFill/>
          <a:ln w="15875" cap="flat" cmpd="sng" algn="ctr">
            <a:solidFill>
              <a:schemeClr val="bg2">
                <a:lumMod val="10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317219008"/>
        <c:crosses val="autoZero"/>
        <c:auto val="1"/>
        <c:lblAlgn val="ctr"/>
        <c:lblOffset val="100"/>
        <c:noMultiLvlLbl val="0"/>
      </c:catAx>
      <c:valAx>
        <c:axId val="1317219008"/>
        <c:scaling>
          <c:orientation val="minMax"/>
        </c:scaling>
        <c:delete val="1"/>
        <c:axPos val="l"/>
        <c:numFmt formatCode="0.0%" sourceLinked="1"/>
        <c:majorTickMark val="none"/>
        <c:minorTickMark val="none"/>
        <c:tickLblPos val="nextTo"/>
        <c:crossAx val="1317215168"/>
        <c:crosses val="autoZero"/>
        <c:crossBetween val="between"/>
      </c:valAx>
      <c:spPr>
        <a:noFill/>
        <a:ln>
          <a:noFill/>
        </a:ln>
        <a:effectLst/>
      </c:spPr>
    </c:plotArea>
    <c:legend>
      <c:legendPos val="tr"/>
      <c:layout>
        <c:manualLayout>
          <c:xMode val="edge"/>
          <c:yMode val="edge"/>
          <c:x val="0.82921901158126432"/>
          <c:y val="5.2679687454998937E-2"/>
          <c:w val="0.13789279572812019"/>
          <c:h val="0.2771567231226141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95000"/>
          <a:lumOff val="5000"/>
        </a:schemeClr>
      </a:solidFill>
      <a:round/>
    </a:ln>
    <a:effectLst>
      <a:glow rad="228600">
        <a:schemeClr val="bg1">
          <a:alpha val="40000"/>
        </a:schemeClr>
      </a:glow>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'Q4(Post-Covid)'!$D$48:$I$48</c:f>
          <c:strCache>
            <c:ptCount val="6"/>
            <c:pt idx="0">
              <c:v>POST_COVID(Urban)</c:v>
            </c:pt>
          </c:strCache>
        </c:strRef>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chemeClr val="accent5">
                  <a:lumMod val="50000"/>
                </a:schemeClr>
              </a:solidFill>
              <a:latin typeface="+mn-lt"/>
              <a:ea typeface="+mn-ea"/>
              <a:cs typeface="+mn-cs"/>
            </a:defRPr>
          </a:pPr>
          <a:endParaRPr lang="en-US"/>
        </a:p>
      </c:txPr>
    </c:title>
    <c:autoTitleDeleted val="0"/>
    <c:plotArea>
      <c:layout>
        <c:manualLayout>
          <c:layoutTarget val="inner"/>
          <c:xMode val="edge"/>
          <c:yMode val="edge"/>
          <c:x val="4.6685801701687873E-2"/>
          <c:y val="0.26323363044965914"/>
          <c:w val="0.81607056427888025"/>
          <c:h val="0.64958464350372047"/>
        </c:manualLayout>
      </c:layout>
      <c:barChart>
        <c:barDir val="col"/>
        <c:grouping val="clustered"/>
        <c:varyColors val="0"/>
        <c:ser>
          <c:idx val="0"/>
          <c:order val="0"/>
          <c:tx>
            <c:strRef>
              <c:f>'Q4(Post-Covid)'!$D$56</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'Q4(Post-Covid)'!$E$55:$F$55</c:f>
              <c:strCache>
                <c:ptCount val="2"/>
                <c:pt idx="0">
                  <c:v>YOY Inflation (2020-2021)</c:v>
                </c:pt>
                <c:pt idx="1">
                  <c:v>YOY Inflation (2021-2022)</c:v>
                </c:pt>
              </c:strCache>
            </c:strRef>
          </c:cat>
          <c:val>
            <c:numRef>
              <c:f>'Q4(Post-Covid)'!$E$56:$F$56</c:f>
              <c:numCache>
                <c:formatCode>0.0%</c:formatCode>
                <c:ptCount val="2"/>
                <c:pt idx="0">
                  <c:v>7.7931034482758704E-2</c:v>
                </c:pt>
                <c:pt idx="1">
                  <c:v>6.5646908859145842E-2</c:v>
                </c:pt>
              </c:numCache>
            </c:numRef>
          </c:val>
          <c:extLst>
            <c:ext xmlns:c16="http://schemas.microsoft.com/office/drawing/2014/chart" uri="{C3380CC4-5D6E-409C-BE32-E72D297353CC}">
              <c16:uniqueId val="{00000000-9113-47F1-B7D4-10122434F599}"/>
            </c:ext>
          </c:extLst>
        </c:ser>
        <c:ser>
          <c:idx val="1"/>
          <c:order val="1"/>
          <c:tx>
            <c:strRef>
              <c:f>'Q4(Post-Covid)'!$D$57</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'Q4(Post-Covid)'!$E$55:$F$55</c:f>
              <c:strCache>
                <c:ptCount val="2"/>
                <c:pt idx="0">
                  <c:v>YOY Inflation (2020-2021)</c:v>
                </c:pt>
                <c:pt idx="1">
                  <c:v>YOY Inflation (2021-2022)</c:v>
                </c:pt>
              </c:strCache>
            </c:strRef>
          </c:cat>
          <c:val>
            <c:numRef>
              <c:f>'Q4(Post-Covid)'!$E$57:$F$57</c:f>
              <c:numCache>
                <c:formatCode>0.0%</c:formatCode>
                <c:ptCount val="2"/>
                <c:pt idx="0">
                  <c:v>8.5022076304766242E-2</c:v>
                </c:pt>
                <c:pt idx="1">
                  <c:v>5.9044832270874828E-2</c:v>
                </c:pt>
              </c:numCache>
            </c:numRef>
          </c:val>
          <c:extLst>
            <c:ext xmlns:c16="http://schemas.microsoft.com/office/drawing/2014/chart" uri="{C3380CC4-5D6E-409C-BE32-E72D297353CC}">
              <c16:uniqueId val="{00000001-9113-47F1-B7D4-10122434F599}"/>
            </c:ext>
          </c:extLst>
        </c:ser>
        <c:ser>
          <c:idx val="2"/>
          <c:order val="2"/>
          <c:tx>
            <c:strRef>
              <c:f>'Q4(Post-Covid)'!$D$58</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'Q4(Post-Covid)'!$E$55:$F$55</c:f>
              <c:strCache>
                <c:ptCount val="2"/>
                <c:pt idx="0">
                  <c:v>YOY Inflation (2020-2021)</c:v>
                </c:pt>
                <c:pt idx="1">
                  <c:v>YOY Inflation (2021-2022)</c:v>
                </c:pt>
              </c:strCache>
            </c:strRef>
          </c:cat>
          <c:val>
            <c:numRef>
              <c:f>'Q4(Post-Covid)'!$E$58:$F$58</c:f>
              <c:numCache>
                <c:formatCode>0.0%</c:formatCode>
                <c:ptCount val="2"/>
                <c:pt idx="0">
                  <c:v>8.5096036955993187E-2</c:v>
                </c:pt>
                <c:pt idx="1">
                  <c:v>6.4023039432875573E-2</c:v>
                </c:pt>
              </c:numCache>
            </c:numRef>
          </c:val>
          <c:extLst>
            <c:ext xmlns:c16="http://schemas.microsoft.com/office/drawing/2014/chart" uri="{C3380CC4-5D6E-409C-BE32-E72D297353CC}">
              <c16:uniqueId val="{00000002-9113-47F1-B7D4-10122434F599}"/>
            </c:ext>
          </c:extLst>
        </c:ser>
        <c:dLbls>
          <c:dLblPos val="outEnd"/>
          <c:showLegendKey val="0"/>
          <c:showVal val="1"/>
          <c:showCatName val="0"/>
          <c:showSerName val="0"/>
          <c:showPercent val="0"/>
          <c:showBubbleSize val="0"/>
        </c:dLbls>
        <c:gapWidth val="219"/>
        <c:overlap val="-27"/>
        <c:axId val="1149170208"/>
        <c:axId val="1149162528"/>
      </c:barChart>
      <c:catAx>
        <c:axId val="1149170208"/>
        <c:scaling>
          <c:orientation val="minMax"/>
        </c:scaling>
        <c:delete val="0"/>
        <c:axPos val="b"/>
        <c:numFmt formatCode="General" sourceLinked="1"/>
        <c:majorTickMark val="none"/>
        <c:minorTickMark val="none"/>
        <c:tickLblPos val="none"/>
        <c:spPr>
          <a:noFill/>
          <a:ln w="15875" cap="flat" cmpd="sng" algn="ctr">
            <a:solidFill>
              <a:schemeClr val="bg2">
                <a:lumMod val="10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149162528"/>
        <c:crosses val="autoZero"/>
        <c:auto val="1"/>
        <c:lblAlgn val="ctr"/>
        <c:lblOffset val="100"/>
        <c:noMultiLvlLbl val="0"/>
      </c:catAx>
      <c:valAx>
        <c:axId val="1149162528"/>
        <c:scaling>
          <c:orientation val="minMax"/>
        </c:scaling>
        <c:delete val="1"/>
        <c:axPos val="l"/>
        <c:numFmt formatCode="0.0%" sourceLinked="1"/>
        <c:majorTickMark val="none"/>
        <c:minorTickMark val="none"/>
        <c:tickLblPos val="nextTo"/>
        <c:crossAx val="1149170208"/>
        <c:crosses val="autoZero"/>
        <c:crossBetween val="between"/>
      </c:valAx>
      <c:spPr>
        <a:noFill/>
        <a:ln>
          <a:noFill/>
        </a:ln>
        <a:effectLst/>
      </c:spPr>
    </c:plotArea>
    <c:legend>
      <c:legendPos val="tr"/>
      <c:layout>
        <c:manualLayout>
          <c:xMode val="edge"/>
          <c:yMode val="edge"/>
          <c:x val="0.85003696412948382"/>
          <c:y val="0.11615740740740743"/>
          <c:w val="0.13329636920384952"/>
          <c:h val="0.266784047827354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95000"/>
          <a:lumOff val="5000"/>
        </a:schemeClr>
      </a:solidFill>
      <a:round/>
    </a:ln>
    <a:effectLst>
      <a:glow rad="228600">
        <a:schemeClr val="bg1">
          <a:alpha val="40000"/>
        </a:schemeClr>
      </a:glow>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'Q4(Pre-Covid)'!$D$31:$I$31</c:f>
          <c:strCache>
            <c:ptCount val="6"/>
            <c:pt idx="0">
              <c:v>PRE_COVID(Rural+Urban)</c:v>
            </c:pt>
          </c:strCache>
        </c:strRef>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2.8823890362751858E-2"/>
          <c:y val="0.15201603203513159"/>
          <c:w val="0.9502132802825195"/>
          <c:h val="0.72370820393819424"/>
        </c:manualLayout>
      </c:layout>
      <c:barChart>
        <c:barDir val="col"/>
        <c:grouping val="clustered"/>
        <c:varyColors val="0"/>
        <c:ser>
          <c:idx val="0"/>
          <c:order val="0"/>
          <c:tx>
            <c:strRef>
              <c:f>'Q4(Pre-Covid)'!$D$39</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'Q4(Pre-Covid)'!$E$38:$F$38</c:f>
              <c:strCache>
                <c:ptCount val="2"/>
                <c:pt idx="0">
                  <c:v>YOY Inflation (2018-2019)</c:v>
                </c:pt>
                <c:pt idx="1">
                  <c:v>YOY Inflation (2019-2020)</c:v>
                </c:pt>
              </c:strCache>
            </c:strRef>
          </c:cat>
          <c:val>
            <c:numRef>
              <c:f>'Q4(Pre-Covid)'!$E$39:$F$39</c:f>
              <c:numCache>
                <c:formatCode>0.0%</c:formatCode>
                <c:ptCount val="2"/>
                <c:pt idx="0">
                  <c:v>8.4139985107967108E-2</c:v>
                </c:pt>
                <c:pt idx="1">
                  <c:v>3.761969904240766E-2</c:v>
                </c:pt>
              </c:numCache>
            </c:numRef>
          </c:val>
          <c:extLst>
            <c:ext xmlns:c16="http://schemas.microsoft.com/office/drawing/2014/chart" uri="{C3380CC4-5D6E-409C-BE32-E72D297353CC}">
              <c16:uniqueId val="{00000000-141D-4E76-A487-036E1D2769BD}"/>
            </c:ext>
          </c:extLst>
        </c:ser>
        <c:ser>
          <c:idx val="1"/>
          <c:order val="1"/>
          <c:tx>
            <c:strRef>
              <c:f>'Q4(Pre-Covid)'!$D$40</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'Q4(Pre-Covid)'!$E$38:$F$38</c:f>
              <c:strCache>
                <c:ptCount val="2"/>
                <c:pt idx="0">
                  <c:v>YOY Inflation (2018-2019)</c:v>
                </c:pt>
                <c:pt idx="1">
                  <c:v>YOY Inflation (2019-2020)</c:v>
                </c:pt>
              </c:strCache>
            </c:strRef>
          </c:cat>
          <c:val>
            <c:numRef>
              <c:f>'Q4(Pre-Covid)'!$E$40:$F$40</c:f>
              <c:numCache>
                <c:formatCode>0.0%</c:formatCode>
                <c:ptCount val="2"/>
                <c:pt idx="0">
                  <c:v>-2.0898641588297318E-3</c:v>
                </c:pt>
                <c:pt idx="1">
                  <c:v>8.9553154922661346E-2</c:v>
                </c:pt>
              </c:numCache>
            </c:numRef>
          </c:val>
          <c:extLst>
            <c:ext xmlns:c16="http://schemas.microsoft.com/office/drawing/2014/chart" uri="{C3380CC4-5D6E-409C-BE32-E72D297353CC}">
              <c16:uniqueId val="{00000001-141D-4E76-A487-036E1D2769BD}"/>
            </c:ext>
          </c:extLst>
        </c:ser>
        <c:ser>
          <c:idx val="2"/>
          <c:order val="2"/>
          <c:tx>
            <c:strRef>
              <c:f>'Q4(Pre-Covid)'!$D$41</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'Q4(Pre-Covid)'!$E$38:$F$38</c:f>
              <c:strCache>
                <c:ptCount val="2"/>
                <c:pt idx="0">
                  <c:v>YOY Inflation (2018-2019)</c:v>
                </c:pt>
                <c:pt idx="1">
                  <c:v>YOY Inflation (2019-2020)</c:v>
                </c:pt>
              </c:strCache>
            </c:strRef>
          </c:cat>
          <c:val>
            <c:numRef>
              <c:f>'Q4(Pre-Covid)'!$E$41:$F$41</c:f>
              <c:numCache>
                <c:formatCode>0.0%</c:formatCode>
                <c:ptCount val="2"/>
                <c:pt idx="0">
                  <c:v>2.7741768213637514E-2</c:v>
                </c:pt>
                <c:pt idx="1">
                  <c:v>5.833542871511202E-2</c:v>
                </c:pt>
              </c:numCache>
            </c:numRef>
          </c:val>
          <c:extLst>
            <c:ext xmlns:c16="http://schemas.microsoft.com/office/drawing/2014/chart" uri="{C3380CC4-5D6E-409C-BE32-E72D297353CC}">
              <c16:uniqueId val="{00000002-141D-4E76-A487-036E1D2769BD}"/>
            </c:ext>
          </c:extLst>
        </c:ser>
        <c:dLbls>
          <c:dLblPos val="outEnd"/>
          <c:showLegendKey val="0"/>
          <c:showVal val="1"/>
          <c:showCatName val="0"/>
          <c:showSerName val="0"/>
          <c:showPercent val="0"/>
          <c:showBubbleSize val="0"/>
        </c:dLbls>
        <c:gapWidth val="219"/>
        <c:overlap val="-27"/>
        <c:axId val="1305622304"/>
        <c:axId val="1305618464"/>
      </c:barChart>
      <c:catAx>
        <c:axId val="1305622304"/>
        <c:scaling>
          <c:orientation val="minMax"/>
        </c:scaling>
        <c:delete val="0"/>
        <c:axPos val="b"/>
        <c:numFmt formatCode="General" sourceLinked="1"/>
        <c:majorTickMark val="none"/>
        <c:minorTickMark val="none"/>
        <c:tickLblPos val="none"/>
        <c:spPr>
          <a:noFill/>
          <a:ln w="15875" cap="flat" cmpd="sng" algn="ctr">
            <a:solidFill>
              <a:schemeClr val="tx1"/>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1305618464"/>
        <c:crosses val="autoZero"/>
        <c:auto val="1"/>
        <c:lblAlgn val="ctr"/>
        <c:lblOffset val="100"/>
        <c:noMultiLvlLbl val="0"/>
      </c:catAx>
      <c:valAx>
        <c:axId val="1305618464"/>
        <c:scaling>
          <c:orientation val="minMax"/>
        </c:scaling>
        <c:delete val="1"/>
        <c:axPos val="l"/>
        <c:numFmt formatCode="0.0%" sourceLinked="1"/>
        <c:majorTickMark val="out"/>
        <c:minorTickMark val="none"/>
        <c:tickLblPos val="nextTo"/>
        <c:crossAx val="130562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a:glow rad="228600">
        <a:schemeClr val="bg1">
          <a:alpha val="40000"/>
        </a:schemeClr>
      </a:glo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'Q4(Pre-Covid)'!$D$55:$I$55</c:f>
          <c:strCache>
            <c:ptCount val="6"/>
            <c:pt idx="0">
              <c:v>PRE_COVID(Urban)</c:v>
            </c:pt>
          </c:strCache>
        </c:strRef>
      </c:tx>
      <c:overlay val="0"/>
      <c:spPr>
        <a:noFill/>
        <a:ln>
          <a:noFill/>
        </a:ln>
        <a:effectLst/>
      </c:spPr>
      <c:txPr>
        <a:bodyPr rot="0" spcFirstLastPara="1" vertOverflow="ellipsis" vert="horz" wrap="square" anchor="ctr" anchorCtr="1"/>
        <a:lstStyle/>
        <a:p>
          <a:pPr algn="ctr" rtl="0">
            <a:defRPr lang="en-US" sz="1400" b="1" i="0" u="sng"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2.8186729719930439E-2"/>
          <c:y val="0.17962841530054646"/>
          <c:w val="0.94362654056013917"/>
          <c:h val="0.72834249817133512"/>
        </c:manualLayout>
      </c:layout>
      <c:barChart>
        <c:barDir val="col"/>
        <c:grouping val="clustered"/>
        <c:varyColors val="0"/>
        <c:ser>
          <c:idx val="0"/>
          <c:order val="0"/>
          <c:tx>
            <c:strRef>
              <c:f>'Q4(Pre-Covid)'!$D$63</c:f>
              <c:strCache>
                <c:ptCount val="1"/>
                <c:pt idx="0">
                  <c:v>Health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'Q4(Pre-Covid)'!$E$62:$F$62</c:f>
              <c:strCache>
                <c:ptCount val="2"/>
                <c:pt idx="0">
                  <c:v>YOY Inflation (2018-2019)</c:v>
                </c:pt>
                <c:pt idx="1">
                  <c:v>YOY Inflation (2019-2020)</c:v>
                </c:pt>
              </c:strCache>
            </c:strRef>
          </c:cat>
          <c:val>
            <c:numRef>
              <c:f>'Q4(Pre-Covid)'!$E$63:$F$63</c:f>
              <c:numCache>
                <c:formatCode>0.0%</c:formatCode>
                <c:ptCount val="2"/>
                <c:pt idx="0">
                  <c:v>6.1302681992337162E-2</c:v>
                </c:pt>
                <c:pt idx="1">
                  <c:v>3.7356321839080588E-2</c:v>
                </c:pt>
              </c:numCache>
            </c:numRef>
          </c:val>
          <c:extLst>
            <c:ext xmlns:c16="http://schemas.microsoft.com/office/drawing/2014/chart" uri="{C3380CC4-5D6E-409C-BE32-E72D297353CC}">
              <c16:uniqueId val="{00000000-5769-47E0-87E4-4892BFE2A8AD}"/>
            </c:ext>
          </c:extLst>
        </c:ser>
        <c:ser>
          <c:idx val="1"/>
          <c:order val="1"/>
          <c:tx>
            <c:strRef>
              <c:f>'Q4(Pre-Covid)'!$D$64</c:f>
              <c:strCache>
                <c:ptCount val="1"/>
                <c:pt idx="0">
                  <c:v>Food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'Q4(Pre-Covid)'!$E$62:$F$62</c:f>
              <c:strCache>
                <c:ptCount val="2"/>
                <c:pt idx="0">
                  <c:v>YOY Inflation (2018-2019)</c:v>
                </c:pt>
                <c:pt idx="1">
                  <c:v>YOY Inflation (2019-2020)</c:v>
                </c:pt>
              </c:strCache>
            </c:strRef>
          </c:cat>
          <c:val>
            <c:numRef>
              <c:f>'Q4(Pre-Covid)'!$E$64:$F$64</c:f>
              <c:numCache>
                <c:formatCode>0.0%</c:formatCode>
                <c:ptCount val="2"/>
                <c:pt idx="0">
                  <c:v>2.3154848046309812E-2</c:v>
                </c:pt>
                <c:pt idx="1">
                  <c:v>8.8541984267333257E-2</c:v>
                </c:pt>
              </c:numCache>
            </c:numRef>
          </c:val>
          <c:extLst>
            <c:ext xmlns:c16="http://schemas.microsoft.com/office/drawing/2014/chart" uri="{C3380CC4-5D6E-409C-BE32-E72D297353CC}">
              <c16:uniqueId val="{00000001-5769-47E0-87E4-4892BFE2A8AD}"/>
            </c:ext>
          </c:extLst>
        </c:ser>
        <c:ser>
          <c:idx val="2"/>
          <c:order val="2"/>
          <c:tx>
            <c:strRef>
              <c:f>'Q4(Pre-Covid)'!$D$65</c:f>
              <c:strCache>
                <c:ptCount val="1"/>
                <c:pt idx="0">
                  <c:v>Essential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'Q4(Pre-Covid)'!$E$62:$F$62</c:f>
              <c:strCache>
                <c:ptCount val="2"/>
                <c:pt idx="0">
                  <c:v>YOY Inflation (2018-2019)</c:v>
                </c:pt>
                <c:pt idx="1">
                  <c:v>YOY Inflation (2019-2020)</c:v>
                </c:pt>
              </c:strCache>
            </c:strRef>
          </c:cat>
          <c:val>
            <c:numRef>
              <c:f>'Q4(Pre-Covid)'!$E$65:$F$65</c:f>
              <c:numCache>
                <c:formatCode>0.0%</c:formatCode>
                <c:ptCount val="2"/>
                <c:pt idx="0">
                  <c:v>2.2647613912105784E-2</c:v>
                </c:pt>
                <c:pt idx="1">
                  <c:v>6.9254984260230787E-2</c:v>
                </c:pt>
              </c:numCache>
            </c:numRef>
          </c:val>
          <c:extLst>
            <c:ext xmlns:c16="http://schemas.microsoft.com/office/drawing/2014/chart" uri="{C3380CC4-5D6E-409C-BE32-E72D297353CC}">
              <c16:uniqueId val="{00000002-5769-47E0-87E4-4892BFE2A8AD}"/>
            </c:ext>
          </c:extLst>
        </c:ser>
        <c:dLbls>
          <c:dLblPos val="outEnd"/>
          <c:showLegendKey val="0"/>
          <c:showVal val="1"/>
          <c:showCatName val="0"/>
          <c:showSerName val="0"/>
          <c:showPercent val="0"/>
          <c:showBubbleSize val="0"/>
        </c:dLbls>
        <c:gapWidth val="219"/>
        <c:overlap val="-27"/>
        <c:axId val="1278980240"/>
        <c:axId val="1278980720"/>
      </c:barChart>
      <c:catAx>
        <c:axId val="1278980240"/>
        <c:scaling>
          <c:orientation val="minMax"/>
        </c:scaling>
        <c:delete val="0"/>
        <c:axPos val="b"/>
        <c:numFmt formatCode="General" sourceLinked="1"/>
        <c:majorTickMark val="none"/>
        <c:minorTickMark val="none"/>
        <c:tickLblPos val="low"/>
        <c:spPr>
          <a:noFill/>
          <a:ln w="15875" cap="flat" cmpd="sng" algn="ctr">
            <a:solidFill>
              <a:schemeClr val="bg2">
                <a:lumMod val="10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78980720"/>
        <c:crosses val="autoZero"/>
        <c:auto val="1"/>
        <c:lblAlgn val="ctr"/>
        <c:lblOffset val="100"/>
        <c:noMultiLvlLbl val="0"/>
      </c:catAx>
      <c:valAx>
        <c:axId val="1278980720"/>
        <c:scaling>
          <c:orientation val="minMax"/>
        </c:scaling>
        <c:delete val="1"/>
        <c:axPos val="l"/>
        <c:numFmt formatCode="0.0%" sourceLinked="1"/>
        <c:majorTickMark val="none"/>
        <c:minorTickMark val="none"/>
        <c:tickLblPos val="nextTo"/>
        <c:crossAx val="1278980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a:glow rad="228600">
        <a:schemeClr val="bg1">
          <a:alpha val="40000"/>
        </a:schemeClr>
      </a:glow>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sng" strike="noStrike" kern="1200" spc="0" baseline="0">
                <a:solidFill>
                  <a:schemeClr val="accent1">
                    <a:lumMod val="50000"/>
                  </a:schemeClr>
                </a:solidFill>
                <a:latin typeface="+mn-lt"/>
                <a:ea typeface="+mn-ea"/>
                <a:cs typeface="+mn-cs"/>
              </a:defRPr>
            </a:pPr>
            <a:r>
              <a:rPr lang="en-US" sz="2000" b="1" u="sng">
                <a:solidFill>
                  <a:schemeClr val="accent1">
                    <a:lumMod val="50000"/>
                  </a:schemeClr>
                </a:solidFill>
              </a:rPr>
              <a:t>Correlation between crude oil prices and CPI for different categories</a:t>
            </a:r>
          </a:p>
        </c:rich>
      </c:tx>
      <c:overlay val="0"/>
      <c:spPr>
        <a:solidFill>
          <a:sysClr val="window" lastClr="FFFFFF"/>
        </a:solidFill>
        <a:ln>
          <a:noFill/>
        </a:ln>
        <a:effectLst/>
      </c:spPr>
      <c:txPr>
        <a:bodyPr rot="0" spcFirstLastPara="1" vertOverflow="ellipsis" vert="horz" wrap="square" anchor="ctr" anchorCtr="1"/>
        <a:lstStyle/>
        <a:p>
          <a:pPr>
            <a:defRPr sz="2000" b="1" i="0" u="sng" strike="noStrike" kern="1200" spc="0" baseline="0">
              <a:solidFill>
                <a:schemeClr val="accent1">
                  <a:lumMod val="50000"/>
                </a:schemeClr>
              </a:solidFill>
              <a:latin typeface="+mn-lt"/>
              <a:ea typeface="+mn-ea"/>
              <a:cs typeface="+mn-cs"/>
            </a:defRPr>
          </a:pPr>
          <a:endParaRPr lang="en-US"/>
        </a:p>
      </c:txPr>
    </c:title>
    <c:autoTitleDeleted val="0"/>
    <c:plotArea>
      <c:layout/>
      <c:barChart>
        <c:barDir val="bar"/>
        <c:grouping val="clustered"/>
        <c:varyColors val="0"/>
        <c:ser>
          <c:idx val="0"/>
          <c:order val="0"/>
          <c:tx>
            <c:strRef>
              <c:f>' Q5'!$B$44</c:f>
              <c:strCache>
                <c:ptCount val="1"/>
                <c:pt idx="0">
                  <c:v>Correl</c:v>
                </c:pt>
              </c:strCache>
            </c:strRef>
          </c:tx>
          <c:spPr>
            <a:solidFill>
              <a:schemeClr val="accent2"/>
            </a:solidFill>
            <a:ln>
              <a:noFill/>
            </a:ln>
            <a:effectLst/>
          </c:spPr>
          <c:invertIfNegative val="0"/>
          <c:dLbls>
            <c:dLbl>
              <c:idx val="1"/>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4D0B-4149-AFCA-E946D705AADD}"/>
                </c:ext>
              </c:extLst>
            </c:dLbl>
            <c:dLbl>
              <c:idx val="4"/>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2-4D0B-4149-AFCA-E946D705AADD}"/>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Q5'!$A$45:$A$72</c:f>
              <c:strCache>
                <c:ptCount val="27"/>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pt idx="14">
                  <c:v>Clothing</c:v>
                </c:pt>
                <c:pt idx="15">
                  <c:v>Footwear</c:v>
                </c:pt>
                <c:pt idx="16">
                  <c:v>Clothing and footwear</c:v>
                </c:pt>
                <c:pt idx="17">
                  <c:v>Housing</c:v>
                </c:pt>
                <c:pt idx="18">
                  <c:v>Fuel and light</c:v>
                </c:pt>
                <c:pt idx="19">
                  <c:v>Household goods and services</c:v>
                </c:pt>
                <c:pt idx="20">
                  <c:v>Health</c:v>
                </c:pt>
                <c:pt idx="21">
                  <c:v>Transport and communication</c:v>
                </c:pt>
                <c:pt idx="22">
                  <c:v>Recreation and amusement</c:v>
                </c:pt>
                <c:pt idx="23">
                  <c:v>Education</c:v>
                </c:pt>
                <c:pt idx="24">
                  <c:v>Personal care and effects</c:v>
                </c:pt>
                <c:pt idx="25">
                  <c:v>Miscellaneous</c:v>
                </c:pt>
                <c:pt idx="26">
                  <c:v>General index</c:v>
                </c:pt>
              </c:strCache>
            </c:strRef>
          </c:cat>
          <c:val>
            <c:numRef>
              <c:f>' Q5'!$B$45:$B$72</c:f>
              <c:numCache>
                <c:formatCode>0%</c:formatCode>
                <c:ptCount val="28"/>
                <c:pt idx="0">
                  <c:v>0.35390489488918025</c:v>
                </c:pt>
                <c:pt idx="1">
                  <c:v>0.83598749729266875</c:v>
                </c:pt>
                <c:pt idx="2">
                  <c:v>-0.18908169545002321</c:v>
                </c:pt>
                <c:pt idx="3">
                  <c:v>0.49054554470049516</c:v>
                </c:pt>
                <c:pt idx="4">
                  <c:v>0.84422772692376136</c:v>
                </c:pt>
                <c:pt idx="5">
                  <c:v>0.6037698236126493</c:v>
                </c:pt>
                <c:pt idx="6">
                  <c:v>5.5923122604334866E-2</c:v>
                </c:pt>
                <c:pt idx="7">
                  <c:v>0.34068109477860192</c:v>
                </c:pt>
                <c:pt idx="8">
                  <c:v>0.57331528370969742</c:v>
                </c:pt>
                <c:pt idx="9">
                  <c:v>0.46693302033217438</c:v>
                </c:pt>
                <c:pt idx="10">
                  <c:v>0.69006812063410328</c:v>
                </c:pt>
                <c:pt idx="11">
                  <c:v>0.61390514483714831</c:v>
                </c:pt>
                <c:pt idx="12">
                  <c:v>0.6261176035590954</c:v>
                </c:pt>
                <c:pt idx="13">
                  <c:v>0.58049367771424443</c:v>
                </c:pt>
                <c:pt idx="14">
                  <c:v>0.63999596542419057</c:v>
                </c:pt>
                <c:pt idx="15">
                  <c:v>0.65743031343341085</c:v>
                </c:pt>
                <c:pt idx="16">
                  <c:v>0.64290501356080954</c:v>
                </c:pt>
                <c:pt idx="17">
                  <c:v>0.5806259009183079</c:v>
                </c:pt>
                <c:pt idx="18">
                  <c:v>0.68314218184816078</c:v>
                </c:pt>
                <c:pt idx="19">
                  <c:v>0.62840567323289453</c:v>
                </c:pt>
                <c:pt idx="20">
                  <c:v>0.62234139728974092</c:v>
                </c:pt>
                <c:pt idx="21">
                  <c:v>0.76576171271104876</c:v>
                </c:pt>
                <c:pt idx="22">
                  <c:v>0.70780060439817627</c:v>
                </c:pt>
                <c:pt idx="23">
                  <c:v>0.5653028282927226</c:v>
                </c:pt>
                <c:pt idx="24">
                  <c:v>0.54573216251432155</c:v>
                </c:pt>
                <c:pt idx="25">
                  <c:v>0.66711382865951885</c:v>
                </c:pt>
                <c:pt idx="26">
                  <c:v>0.65481753095456197</c:v>
                </c:pt>
              </c:numCache>
            </c:numRef>
          </c:val>
          <c:extLst>
            <c:ext xmlns:c16="http://schemas.microsoft.com/office/drawing/2014/chart" uri="{C3380CC4-5D6E-409C-BE32-E72D297353CC}">
              <c16:uniqueId val="{00000000-4D0B-4149-AFCA-E946D705AADD}"/>
            </c:ext>
          </c:extLst>
        </c:ser>
        <c:dLbls>
          <c:dLblPos val="outEnd"/>
          <c:showLegendKey val="0"/>
          <c:showVal val="1"/>
          <c:showCatName val="0"/>
          <c:showSerName val="0"/>
          <c:showPercent val="0"/>
          <c:showBubbleSize val="0"/>
        </c:dLbls>
        <c:gapWidth val="182"/>
        <c:axId val="1108362415"/>
        <c:axId val="1108361935"/>
      </c:barChart>
      <c:catAx>
        <c:axId val="1108362415"/>
        <c:scaling>
          <c:orientation val="minMax"/>
        </c:scaling>
        <c:delete val="0"/>
        <c:axPos val="l"/>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0" spcFirstLastPara="1" vertOverflow="ellipsis" wrap="square" anchor="b" anchorCtr="1"/>
          <a:lstStyle/>
          <a:p>
            <a:pPr>
              <a:defRPr sz="1400" b="0" i="0" u="none" strike="noStrike" kern="1200" baseline="0">
                <a:solidFill>
                  <a:srgbClr val="C00000"/>
                </a:solidFill>
                <a:latin typeface="+mn-lt"/>
                <a:ea typeface="+mn-ea"/>
                <a:cs typeface="+mn-cs"/>
              </a:defRPr>
            </a:pPr>
            <a:endParaRPr lang="en-US"/>
          </a:p>
        </c:txPr>
        <c:crossAx val="1108361935"/>
        <c:crosses val="autoZero"/>
        <c:auto val="1"/>
        <c:lblAlgn val="ctr"/>
        <c:lblOffset val="100"/>
        <c:noMultiLvlLbl val="0"/>
      </c:catAx>
      <c:valAx>
        <c:axId val="1108361935"/>
        <c:scaling>
          <c:orientation val="minMax"/>
        </c:scaling>
        <c:delete val="1"/>
        <c:axPos val="b"/>
        <c:numFmt formatCode="0%" sourceLinked="1"/>
        <c:majorTickMark val="out"/>
        <c:minorTickMark val="none"/>
        <c:tickLblPos val="low"/>
        <c:crossAx val="11083624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sng" strike="noStrike" kern="1200" spc="0" baseline="0">
                <a:solidFill>
                  <a:schemeClr val="accent1">
                    <a:lumMod val="50000"/>
                  </a:schemeClr>
                </a:solidFill>
                <a:latin typeface="+mn-lt"/>
                <a:ea typeface="+mn-ea"/>
                <a:cs typeface="+mn-cs"/>
              </a:defRPr>
            </a:pPr>
            <a:r>
              <a:rPr lang="en-IN" sz="1200" b="1" u="sng">
                <a:solidFill>
                  <a:schemeClr val="accent1">
                    <a:lumMod val="50000"/>
                  </a:schemeClr>
                </a:solidFill>
              </a:rPr>
              <a:t>  </a:t>
            </a:r>
            <a:r>
              <a:rPr lang="en-US" sz="1200" b="1" i="0" u="sng" strike="noStrike" kern="1200" spc="0" baseline="0">
                <a:solidFill>
                  <a:schemeClr val="accent1">
                    <a:lumMod val="50000"/>
                  </a:schemeClr>
                </a:solidFill>
              </a:rPr>
              <a:t>Highest Broader Category Contributor Towards The CPI Basket</a:t>
            </a:r>
          </a:p>
        </c:rich>
      </c:tx>
      <c:layout>
        <c:manualLayout>
          <c:xMode val="edge"/>
          <c:yMode val="edge"/>
          <c:x val="9.8570941853422175E-2"/>
          <c:y val="1.37741046831955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sng" strike="noStrike" kern="1200" spc="0" baseline="0">
              <a:solidFill>
                <a:schemeClr val="accent1">
                  <a:lumMod val="50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13AD-4BC7-B378-8DD593EDBEE2}"/>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13AD-4BC7-B378-8DD593EDBEE2}"/>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13AD-4BC7-B378-8DD593EDBEE2}"/>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13AD-4BC7-B378-8DD593EDBEE2}"/>
              </c:ext>
            </c:extLst>
          </c:dPt>
          <c:dPt>
            <c:idx val="4"/>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13AD-4BC7-B378-8DD593EDBEE2}"/>
              </c:ext>
            </c:extLst>
          </c:dPt>
          <c:dPt>
            <c:idx val="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13AD-4BC7-B378-8DD593EDBEE2}"/>
              </c:ext>
            </c:extLst>
          </c:dPt>
          <c:dPt>
            <c:idx val="6"/>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13AD-4BC7-B378-8DD593EDBEE2}"/>
              </c:ext>
            </c:extLst>
          </c:dPt>
          <c:dPt>
            <c:idx val="7"/>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3AD-4BC7-B378-8DD593EDBEE2}"/>
              </c:ext>
            </c:extLst>
          </c:dPt>
          <c:dLbls>
            <c:dLbl>
              <c:idx val="0"/>
              <c:layout>
                <c:manualLayout>
                  <c:x val="-1.7746993538278574E-2"/>
                  <c:y val="-0.13457707688964368"/>
                </c:manualLayout>
              </c:layout>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15270953530775"/>
                      <c:h val="0.15563219213537494"/>
                    </c:manualLayout>
                  </c15:layout>
                </c:ext>
                <c:ext xmlns:c16="http://schemas.microsoft.com/office/drawing/2014/chart" uri="{C3380CC4-5D6E-409C-BE32-E72D297353CC}">
                  <c16:uniqueId val="{00000001-13AD-4BC7-B378-8DD593EDBEE2}"/>
                </c:ext>
              </c:extLst>
            </c:dLbl>
            <c:dLbl>
              <c:idx val="1"/>
              <c:layout>
                <c:manualLayout>
                  <c:x val="-3.2051282051282097E-2"/>
                  <c:y val="-2.75482093663911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AD-4BC7-B378-8DD593EDBEE2}"/>
                </c:ext>
              </c:extLst>
            </c:dLbl>
            <c:dLbl>
              <c:idx val="3"/>
              <c:layout>
                <c:manualLayout>
                  <c:x val="-2.9483701760010271E-2"/>
                  <c:y val="-3.74860856889120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3AD-4BC7-B378-8DD593EDBEE2}"/>
                </c:ext>
              </c:extLst>
            </c:dLbl>
            <c:dLbl>
              <c:idx val="4"/>
              <c:layout>
                <c:manualLayout>
                  <c:x val="-5.0747863247863234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3AD-4BC7-B378-8DD593EDBEE2}"/>
                </c:ext>
              </c:extLst>
            </c:dLbl>
            <c:dLbl>
              <c:idx val="5"/>
              <c:layout>
                <c:manualLayout>
                  <c:x val="-9.8824786324786348E-2"/>
                  <c:y val="-4.6439628482972138E-2"/>
                </c:manualLayout>
              </c:layout>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419850763846826"/>
                      <c:h val="0.11978255040101411"/>
                    </c:manualLayout>
                  </c15:layout>
                </c:ext>
                <c:ext xmlns:c16="http://schemas.microsoft.com/office/drawing/2014/chart" uri="{C3380CC4-5D6E-409C-BE32-E72D297353CC}">
                  <c16:uniqueId val="{0000000B-13AD-4BC7-B378-8DD593EDBEE2}"/>
                </c:ext>
              </c:extLst>
            </c:dLbl>
            <c:dLbl>
              <c:idx val="6"/>
              <c:layout>
                <c:manualLayout>
                  <c:x val="2.4038461538461491E-2"/>
                  <c:y val="-1.8934151826063065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1469080187091998"/>
                      <c:h val="0.11576610774892808"/>
                    </c:manualLayout>
                  </c15:layout>
                </c:ext>
                <c:ext xmlns:c16="http://schemas.microsoft.com/office/drawing/2014/chart" uri="{C3380CC4-5D6E-409C-BE32-E72D297353CC}">
                  <c16:uniqueId val="{0000000D-13AD-4BC7-B378-8DD593EDBEE2}"/>
                </c:ext>
              </c:extLst>
            </c:dLbl>
            <c:dLbl>
              <c:idx val="7"/>
              <c:layout>
                <c:manualLayout>
                  <c:x val="0.16826923076923064"/>
                  <c:y val="-5.117387186105854E-3"/>
                </c:manualLayout>
              </c:layout>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0">
                  <a:noAutofit/>
                </a:bodyPr>
                <a:lstStyle/>
                <a:p>
                  <a:pPr algn="l">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7.8286307961504806E-2"/>
                      <c:h val="0.12494884420439181"/>
                    </c:manualLayout>
                  </c15:layout>
                </c:ext>
                <c:ext xmlns:c16="http://schemas.microsoft.com/office/drawing/2014/chart" uri="{C3380CC4-5D6E-409C-BE32-E72D297353CC}">
                  <c16:uniqueId val="{0000000F-13AD-4BC7-B378-8DD593EDBEE2}"/>
                </c:ext>
              </c:extLst>
            </c:dLbl>
            <c:spPr>
              <a:solidFill>
                <a:srgbClr val="FFC000">
                  <a:lumMod val="20000"/>
                  <a:lumOff val="8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Q1'!$C$27:$C$34</c:f>
              <c:strCache>
                <c:ptCount val="8"/>
                <c:pt idx="0">
                  <c:v>Food</c:v>
                </c:pt>
                <c:pt idx="1">
                  <c:v>Luxury</c:v>
                </c:pt>
                <c:pt idx="2">
                  <c:v>Clothing</c:v>
                </c:pt>
                <c:pt idx="3">
                  <c:v>Housing</c:v>
                </c:pt>
                <c:pt idx="4">
                  <c:v>Essential</c:v>
                </c:pt>
                <c:pt idx="5">
                  <c:v>Health</c:v>
                </c:pt>
                <c:pt idx="6">
                  <c:v>Education</c:v>
                </c:pt>
                <c:pt idx="7">
                  <c:v>Misc</c:v>
                </c:pt>
              </c:strCache>
            </c:strRef>
          </c:cat>
          <c:val>
            <c:numRef>
              <c:f>' Q1'!$D$27:$D$34</c:f>
              <c:numCache>
                <c:formatCode>0%</c:formatCode>
                <c:ptCount val="8"/>
                <c:pt idx="0">
                  <c:v>0.46945852227260604</c:v>
                </c:pt>
                <c:pt idx="1">
                  <c:v>0.12278829910198275</c:v>
                </c:pt>
                <c:pt idx="2">
                  <c:v>0.12667822530452563</c:v>
                </c:pt>
                <c:pt idx="3">
                  <c:v>3.9966213212412192E-2</c:v>
                </c:pt>
                <c:pt idx="4">
                  <c:v>0.11938739219347379</c:v>
                </c:pt>
                <c:pt idx="5">
                  <c:v>4.174446519071752E-2</c:v>
                </c:pt>
                <c:pt idx="6">
                  <c:v>4.0077353961056272E-2</c:v>
                </c:pt>
                <c:pt idx="7">
                  <c:v>3.9899528763225736E-2</c:v>
                </c:pt>
              </c:numCache>
            </c:numRef>
          </c:val>
          <c:extLst>
            <c:ext xmlns:c16="http://schemas.microsoft.com/office/drawing/2014/chart" uri="{C3380CC4-5D6E-409C-BE32-E72D297353CC}">
              <c16:uniqueId val="{00000010-13AD-4BC7-B378-8DD593EDBEE2}"/>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cap="none" spc="0" baseline="0">
                <a:ln w="0"/>
                <a:solidFill>
                  <a:schemeClr val="accent1">
                    <a:lumMod val="50000"/>
                  </a:schemeClr>
                </a:solidFill>
                <a:effectLst>
                  <a:outerShdw blurRad="38100" dist="25400" dir="5400000" algn="ctr" rotWithShape="0">
                    <a:srgbClr val="6E747A">
                      <a:alpha val="43000"/>
                    </a:srgbClr>
                  </a:outerShdw>
                </a:effectLst>
                <a:latin typeface="+mn-lt"/>
                <a:ea typeface="+mn-ea"/>
                <a:cs typeface="+mn-cs"/>
              </a:defRPr>
            </a:pPr>
            <a:r>
              <a:rPr lang="en-IN" b="1" u="sng" cap="none" spc="0">
                <a:ln w="0"/>
                <a:solidFill>
                  <a:schemeClr val="accent1">
                    <a:lumMod val="50000"/>
                  </a:schemeClr>
                </a:solidFill>
                <a:effectLst>
                  <a:outerShdw blurRad="38100" dist="25400" dir="5400000" algn="ctr" rotWithShape="0">
                    <a:srgbClr val="6E747A">
                      <a:alpha val="43000"/>
                    </a:srgbClr>
                  </a:outerShdw>
                </a:effectLst>
              </a:rPr>
              <a:t>YOY</a:t>
            </a:r>
            <a:r>
              <a:rPr lang="en-IN" b="1" u="sng" cap="none" spc="0" baseline="0">
                <a:ln w="0"/>
                <a:solidFill>
                  <a:schemeClr val="accent1">
                    <a:lumMod val="50000"/>
                  </a:schemeClr>
                </a:solidFill>
                <a:effectLst>
                  <a:outerShdw blurRad="38100" dist="25400" dir="5400000" algn="ctr" rotWithShape="0">
                    <a:srgbClr val="6E747A">
                      <a:alpha val="43000"/>
                    </a:srgbClr>
                  </a:outerShdw>
                </a:effectLst>
              </a:rPr>
              <a:t> inflation(Rural+Urban)</a:t>
            </a:r>
          </a:p>
        </c:rich>
      </c:tx>
      <c:overlay val="0"/>
      <c:spPr>
        <a:noFill/>
        <a:ln>
          <a:noFill/>
        </a:ln>
        <a:effectLst/>
      </c:spPr>
      <c:txPr>
        <a:bodyPr rot="0" spcFirstLastPara="1" vertOverflow="ellipsis" vert="horz" wrap="square" anchor="ctr" anchorCtr="1"/>
        <a:lstStyle/>
        <a:p>
          <a:pPr>
            <a:defRPr sz="1400" b="1" i="0" u="sng" strike="noStrike" kern="1200" cap="none" spc="0" baseline="0">
              <a:ln w="0"/>
              <a:solidFill>
                <a:schemeClr val="accent1">
                  <a:lumMod val="50000"/>
                </a:schemeClr>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numRef>
              <c:f>' Q2'!$B$22:$B$27</c:f>
              <c:numCache>
                <c:formatCode>General</c:formatCode>
                <c:ptCount val="6"/>
                <c:pt idx="0">
                  <c:v>2017</c:v>
                </c:pt>
                <c:pt idx="1">
                  <c:v>2018</c:v>
                </c:pt>
                <c:pt idx="2">
                  <c:v>2019</c:v>
                </c:pt>
                <c:pt idx="3">
                  <c:v>2020</c:v>
                </c:pt>
                <c:pt idx="4">
                  <c:v>2021</c:v>
                </c:pt>
                <c:pt idx="5">
                  <c:v>2022</c:v>
                </c:pt>
              </c:numCache>
            </c:numRef>
          </c:cat>
          <c:val>
            <c:numRef>
              <c:f>' Q2'!$C$22:$C$27</c:f>
              <c:numCache>
                <c:formatCode>0%</c:formatCode>
                <c:ptCount val="6"/>
                <c:pt idx="0">
                  <c:v>5.295471987720627E-2</c:v>
                </c:pt>
                <c:pt idx="1">
                  <c:v>2.3374726077428697E-2</c:v>
                </c:pt>
                <c:pt idx="2">
                  <c:v>7.7363896848137617E-2</c:v>
                </c:pt>
                <c:pt idx="3">
                  <c:v>5.7922769640479481E-2</c:v>
                </c:pt>
                <c:pt idx="4">
                  <c:v>5.657978385251098E-2</c:v>
                </c:pt>
                <c:pt idx="5">
                  <c:v>6.0350030175015092E-2</c:v>
                </c:pt>
              </c:numCache>
            </c:numRef>
          </c:val>
          <c:smooth val="0"/>
          <c:extLst>
            <c:ext xmlns:c16="http://schemas.microsoft.com/office/drawing/2014/chart" uri="{C3380CC4-5D6E-409C-BE32-E72D297353CC}">
              <c16:uniqueId val="{00000000-1AA1-44AB-B5DC-92139DC34130}"/>
            </c:ext>
          </c:extLst>
        </c:ser>
        <c:dLbls>
          <c:showLegendKey val="0"/>
          <c:showVal val="0"/>
          <c:showCatName val="0"/>
          <c:showSerName val="0"/>
          <c:showPercent val="0"/>
          <c:showBubbleSize val="0"/>
        </c:dLbls>
        <c:smooth val="0"/>
        <c:axId val="1074006256"/>
        <c:axId val="1074001456"/>
      </c:lineChart>
      <c:catAx>
        <c:axId val="107400625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r>
                  <a:rPr lang="en-IN" sz="1050">
                    <a:solidFill>
                      <a:schemeClr val="accent1">
                        <a:lumMod val="50000"/>
                      </a:schemeClr>
                    </a:solidFill>
                  </a:rPr>
                  <a:t>Years</a:t>
                </a:r>
              </a:p>
            </c:rich>
          </c:tx>
          <c:layout>
            <c:manualLayout>
              <c:xMode val="edge"/>
              <c:yMode val="edge"/>
              <c:x val="0.43242899270813473"/>
              <c:y val="0.8741516454224831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accent1">
                      <a:lumMod val="50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4001456"/>
        <c:crosses val="autoZero"/>
        <c:auto val="1"/>
        <c:lblAlgn val="ctr"/>
        <c:lblOffset val="100"/>
        <c:noMultiLvlLbl val="0"/>
      </c:catAx>
      <c:valAx>
        <c:axId val="1074001456"/>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sz="1050">
                    <a:solidFill>
                      <a:schemeClr val="accent1">
                        <a:lumMod val="50000"/>
                      </a:schemeClr>
                    </a:solidFill>
                  </a:rPr>
                  <a:t>YOY  Inflation</a:t>
                </a:r>
              </a:p>
            </c:rich>
          </c:tx>
          <c:layout>
            <c:manualLayout>
              <c:xMode val="edge"/>
              <c:yMode val="edge"/>
              <c:x val="2.0571427513601671E-2"/>
              <c:y val="0.31646566931669157"/>
            </c:manualLayout>
          </c:layout>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74006256"/>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70C0"/>
      </a:solidFill>
      <a:round/>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chart" Target="../charts/chart18.xml"/><Relationship Id="rId6" Type="http://schemas.openxmlformats.org/officeDocument/2006/relationships/chart" Target="../charts/chart19.xml"/><Relationship Id="rId5" Type="http://schemas.openxmlformats.org/officeDocument/2006/relationships/image" Target="../media/image9.png"/><Relationship Id="rId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83820</xdr:rowOff>
    </xdr:from>
    <xdr:to>
      <xdr:col>11</xdr:col>
      <xdr:colOff>220980</xdr:colOff>
      <xdr:row>10</xdr:row>
      <xdr:rowOff>175260</xdr:rowOff>
    </xdr:to>
    <xdr:sp macro="" textlink="">
      <xdr:nvSpPr>
        <xdr:cNvPr id="2" name="TextBox 1">
          <a:extLst>
            <a:ext uri="{FF2B5EF4-FFF2-40B4-BE49-F238E27FC236}">
              <a16:creationId xmlns:a16="http://schemas.microsoft.com/office/drawing/2014/main" id="{5CD188E1-0098-AEDC-653E-FD4B0015308B}"/>
            </a:ext>
          </a:extLst>
        </xdr:cNvPr>
        <xdr:cNvSpPr txBox="1"/>
      </xdr:nvSpPr>
      <xdr:spPr>
        <a:xfrm>
          <a:off x="0" y="495300"/>
          <a:ext cx="7261860" cy="1554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&gt;Index values are used to compare the percentage of increase in prices based on Month-on-Month Analysis or Year-on-Year Analysis.</a:t>
          </a:r>
          <a:br>
            <a:rPr lang="en-IN" sz="1100"/>
          </a:br>
          <a:br>
            <a:rPr lang="en-IN" sz="1100"/>
          </a:br>
          <a:r>
            <a:rPr lang="en-IN" sz="1100"/>
            <a:t>&gt;It is basically a starting point/serial number given to a category when prcing was started. Eg: Rice was  Rs 100/kg at index 1 and the pricing increased to rs110/kg at index 1.1. Hence, when you see both of these indexes, you will be able to compare the percentage increase rise in the price of rice.</a:t>
          </a:r>
        </a:p>
        <a:p>
          <a:endParaRPr lang="en-IN" sz="1100"/>
        </a:p>
        <a:p>
          <a:r>
            <a:rPr lang="en-IN" sz="1100"/>
            <a:t>&gt;General Index is the column to find the overall Inflation in India in general(Not specific to any category)</a:t>
          </a:r>
        </a:p>
      </xdr:txBody>
    </xdr:sp>
    <xdr:clientData/>
  </xdr:twoCellAnchor>
  <xdr:twoCellAnchor>
    <xdr:from>
      <xdr:col>0</xdr:col>
      <xdr:colOff>53340</xdr:colOff>
      <xdr:row>13</xdr:row>
      <xdr:rowOff>45720</xdr:rowOff>
    </xdr:from>
    <xdr:to>
      <xdr:col>11</xdr:col>
      <xdr:colOff>167640</xdr:colOff>
      <xdr:row>20</xdr:row>
      <xdr:rowOff>0</xdr:rowOff>
    </xdr:to>
    <xdr:sp macro="" textlink="">
      <xdr:nvSpPr>
        <xdr:cNvPr id="3" name="TextBox 2">
          <a:extLst>
            <a:ext uri="{FF2B5EF4-FFF2-40B4-BE49-F238E27FC236}">
              <a16:creationId xmlns:a16="http://schemas.microsoft.com/office/drawing/2014/main" id="{25F2C89A-9E3F-B006-6385-1997727344E9}"/>
            </a:ext>
          </a:extLst>
        </xdr:cNvPr>
        <xdr:cNvSpPr txBox="1"/>
      </xdr:nvSpPr>
      <xdr:spPr>
        <a:xfrm>
          <a:off x="53340" y="2468880"/>
          <a:ext cx="7155180" cy="1234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i="0" u="none" strike="noStrike">
              <a:solidFill>
                <a:schemeClr val="dk1"/>
              </a:solidFill>
              <a:effectLst/>
              <a:latin typeface="+mn-lt"/>
              <a:ea typeface="+mn-ea"/>
              <a:cs typeface="+mn-cs"/>
            </a:rPr>
            <a:t>1Q) latest month is may 2023- bottom 3 rows. Everythig else does not matter.</a:t>
          </a:r>
        </a:p>
        <a:p>
          <a:pPr algn="l"/>
          <a:r>
            <a:rPr lang="en-IN" b="1">
              <a:effectLst/>
            </a:rPr>
            <a:t> </a:t>
          </a:r>
          <a:r>
            <a:rPr lang="en-IN" sz="1100" b="1" i="0" u="none" strike="noStrike">
              <a:solidFill>
                <a:schemeClr val="dk1"/>
              </a:solidFill>
              <a:effectLst/>
              <a:latin typeface="+mn-lt"/>
              <a:ea typeface="+mn-ea"/>
              <a:cs typeface="+mn-cs"/>
            </a:rPr>
            <a:t>&gt;</a:t>
          </a:r>
          <a:r>
            <a:rPr lang="en-IN" sz="1100" b="0" i="0" u="none" strike="noStrike">
              <a:solidFill>
                <a:schemeClr val="dk1"/>
              </a:solidFill>
              <a:effectLst/>
              <a:latin typeface="+mn-lt"/>
              <a:ea typeface="+mn-ea"/>
              <a:cs typeface="+mn-cs"/>
            </a:rPr>
            <a:t>For may 2023- create broader categories from individual smaller categories- Food, clothing,  housing, essetial</a:t>
          </a:r>
          <a:r>
            <a:rPr lang="en-IN" sz="1100" b="0" i="0" u="none" strike="noStrike" baseline="0">
              <a:solidFill>
                <a:schemeClr val="dk1"/>
              </a:solidFill>
              <a:effectLst/>
              <a:latin typeface="+mn-lt"/>
              <a:ea typeface="+mn-ea"/>
              <a:cs typeface="+mn-cs"/>
            </a:rPr>
            <a:t> </a:t>
          </a:r>
          <a:r>
            <a:rPr lang="en-IN" sz="1100" b="0" i="0">
              <a:solidFill>
                <a:schemeClr val="dk1"/>
              </a:solidFill>
              <a:effectLst/>
              <a:latin typeface="+mn-lt"/>
              <a:ea typeface="+mn-ea"/>
              <a:cs typeface="+mn-cs"/>
            </a:rPr>
            <a:t>services(health,trans&amp;comm,), Luxuary(recre&amp;amusement, personal care&amp;effecects), Education, Misc, general</a:t>
          </a:r>
          <a:r>
            <a:rPr lang="en-IN" sz="110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etc. LEAVE GENERAL INDEX AS IT IS. </a:t>
          </a:r>
          <a:r>
            <a:rPr lang="en-IN" sz="1100" b="0" i="0">
              <a:solidFill>
                <a:schemeClr val="dk1"/>
              </a:solidFill>
              <a:effectLst/>
              <a:latin typeface="+mn-lt"/>
              <a:ea typeface="+mn-ea"/>
              <a:cs typeface="+mn-cs"/>
            </a:rPr>
            <a:t>Do not mao it to any category.</a:t>
          </a:r>
          <a:endParaRPr lang="en-IN" sz="1100" b="0" i="0" u="none" strike="noStrike">
            <a:solidFill>
              <a:schemeClr val="dk1"/>
            </a:solidFill>
            <a:effectLst/>
            <a:latin typeface="+mn-lt"/>
            <a:ea typeface="+mn-ea"/>
            <a:cs typeface="+mn-cs"/>
          </a:endParaRPr>
        </a:p>
        <a:p>
          <a:pPr algn="l"/>
          <a:r>
            <a:rPr lang="en-IN" sz="1100" b="1" i="0" u="none" strike="noStrike">
              <a:solidFill>
                <a:schemeClr val="dk1"/>
              </a:solidFill>
              <a:effectLst/>
              <a:latin typeface="+mn-lt"/>
              <a:ea typeface="+mn-ea"/>
              <a:cs typeface="+mn-cs"/>
            </a:rPr>
            <a:t>&gt;</a:t>
          </a:r>
          <a:r>
            <a:rPr lang="en-IN" sz="1100" b="0" i="0" u="none" strike="noStrike">
              <a:solidFill>
                <a:schemeClr val="dk1"/>
              </a:solidFill>
              <a:effectLst/>
              <a:latin typeface="+mn-lt"/>
              <a:ea typeface="+mn-ea"/>
              <a:cs typeface="+mn-cs"/>
            </a:rPr>
            <a:t> Find the sum of index values for may 2023 for these broader categories</a:t>
          </a:r>
          <a:r>
            <a:rPr lang="en-IN">
              <a:effectLst/>
            </a:rPr>
            <a:t> </a:t>
          </a:r>
        </a:p>
        <a:p>
          <a:pPr algn="l"/>
          <a:r>
            <a:rPr lang="en-IN" sz="1100" b="1" i="0" u="none" strike="noStrike">
              <a:solidFill>
                <a:schemeClr val="dk1"/>
              </a:solidFill>
              <a:effectLst/>
              <a:latin typeface="+mn-lt"/>
              <a:ea typeface="+mn-ea"/>
              <a:cs typeface="+mn-cs"/>
            </a:rPr>
            <a:t>&gt;</a:t>
          </a:r>
          <a:r>
            <a:rPr lang="en-IN" sz="1100" b="0" i="0" u="none" strike="noStrike">
              <a:solidFill>
                <a:schemeClr val="dk1"/>
              </a:solidFill>
              <a:effectLst/>
              <a:latin typeface="+mn-lt"/>
              <a:ea typeface="+mn-ea"/>
              <a:cs typeface="+mn-cs"/>
            </a:rPr>
            <a:t>Find the percentage for each(rural,Urban and Riral+Urban)-&gt;first value/total</a:t>
          </a:r>
          <a:r>
            <a:rPr lang="en-IN">
              <a:effectLst/>
            </a:rPr>
            <a:t> </a:t>
          </a:r>
        </a:p>
        <a:p>
          <a:pPr algn="l"/>
          <a:r>
            <a:rPr lang="en-IN" sz="1100" b="1"/>
            <a:t>&gt;</a:t>
          </a:r>
          <a:r>
            <a:rPr lang="en-IN" sz="1100"/>
            <a:t> Make a pie chart to display the result</a:t>
          </a:r>
        </a:p>
      </xdr:txBody>
    </xdr:sp>
    <xdr:clientData/>
  </xdr:twoCellAnchor>
  <xdr:twoCellAnchor>
    <xdr:from>
      <xdr:col>0</xdr:col>
      <xdr:colOff>167640</xdr:colOff>
      <xdr:row>21</xdr:row>
      <xdr:rowOff>106680</xdr:rowOff>
    </xdr:from>
    <xdr:to>
      <xdr:col>11</xdr:col>
      <xdr:colOff>99060</xdr:colOff>
      <xdr:row>28</xdr:row>
      <xdr:rowOff>83820</xdr:rowOff>
    </xdr:to>
    <xdr:sp macro="" textlink="">
      <xdr:nvSpPr>
        <xdr:cNvPr id="4" name="TextBox 3">
          <a:extLst>
            <a:ext uri="{FF2B5EF4-FFF2-40B4-BE49-F238E27FC236}">
              <a16:creationId xmlns:a16="http://schemas.microsoft.com/office/drawing/2014/main" id="{925E16AB-2198-FAA0-82BD-06A38AC3CFCD}"/>
            </a:ext>
          </a:extLst>
        </xdr:cNvPr>
        <xdr:cNvSpPr txBox="1"/>
      </xdr:nvSpPr>
      <xdr:spPr>
        <a:xfrm>
          <a:off x="167640" y="3992880"/>
          <a:ext cx="6972300" cy="1257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2Q) year on Year inflation for Rural+Urban starting from 2017 and IDENTIFY the year with highest Inflation</a:t>
          </a:r>
          <a:br>
            <a:rPr lang="en-IN" sz="1100" b="1" i="0" u="none" strike="noStrike">
              <a:solidFill>
                <a:schemeClr val="dk1"/>
              </a:solidFill>
              <a:effectLst/>
              <a:latin typeface="+mn-lt"/>
              <a:ea typeface="+mn-ea"/>
              <a:cs typeface="+mn-cs"/>
            </a:rPr>
          </a:br>
          <a:r>
            <a:rPr lang="en-IN">
              <a:effectLst/>
            </a:rPr>
            <a:t> </a:t>
          </a:r>
          <a:r>
            <a:rPr lang="en-IN" sz="1100" b="0" i="0" u="none" strike="noStrike">
              <a:solidFill>
                <a:schemeClr val="dk1"/>
              </a:solidFill>
              <a:effectLst/>
              <a:latin typeface="+mn-lt"/>
              <a:ea typeface="+mn-ea"/>
              <a:cs typeface="+mn-cs"/>
            </a:rPr>
            <a:t>&gt;Entire basket of products combined-General Index</a:t>
          </a:r>
          <a:r>
            <a:rPr lang="en-IN">
              <a:effectLst/>
            </a:rPr>
            <a:t> </a:t>
          </a:r>
          <a:br>
            <a:rPr lang="en-IN" sz="1100" b="0" i="0" u="none" strike="noStrike">
              <a:solidFill>
                <a:schemeClr val="dk1"/>
              </a:solidFill>
              <a:effectLst/>
              <a:latin typeface="+mn-lt"/>
              <a:ea typeface="+mn-ea"/>
              <a:cs typeface="+mn-cs"/>
            </a:rPr>
          </a:br>
          <a:r>
            <a:rPr lang="en-IN" sz="1100" b="0" i="0" u="none" strike="noStrike" baseline="0">
              <a:solidFill>
                <a:schemeClr val="dk1"/>
              </a:solidFill>
              <a:effectLst/>
              <a:latin typeface="+mn-lt"/>
              <a:ea typeface="+mn-ea"/>
              <a:cs typeface="+mn-cs"/>
            </a:rPr>
            <a:t> </a:t>
          </a:r>
          <a:br>
            <a:rPr lang="en-IN">
              <a:effectLst/>
            </a:rPr>
          </a:br>
          <a:r>
            <a:rPr lang="en-IN">
              <a:effectLst/>
            </a:rPr>
            <a:t>  </a:t>
          </a:r>
          <a:r>
            <a:rPr lang="en-IN" sz="1100" b="0" i="0" u="none" strike="noStrike">
              <a:solidFill>
                <a:schemeClr val="dk1"/>
              </a:solidFill>
              <a:effectLst/>
              <a:latin typeface="+mn-lt"/>
              <a:ea typeface="+mn-ea"/>
              <a:cs typeface="+mn-cs"/>
            </a:rPr>
            <a:t>&gt;use a line chart to show the inflation increase/decrease.</a:t>
          </a:r>
          <a:r>
            <a:rPr lang="en-IN">
              <a:effectLst/>
            </a:rPr>
            <a:t>         </a:t>
          </a:r>
          <a:endParaRPr lang="en-IN" sz="1100"/>
        </a:p>
      </xdr:txBody>
    </xdr:sp>
    <xdr:clientData/>
  </xdr:twoCellAnchor>
  <xdr:twoCellAnchor>
    <xdr:from>
      <xdr:col>0</xdr:col>
      <xdr:colOff>83820</xdr:colOff>
      <xdr:row>34</xdr:row>
      <xdr:rowOff>60960</xdr:rowOff>
    </xdr:from>
    <xdr:to>
      <xdr:col>11</xdr:col>
      <xdr:colOff>548640</xdr:colOff>
      <xdr:row>45</xdr:row>
      <xdr:rowOff>22860</xdr:rowOff>
    </xdr:to>
    <xdr:sp macro="" textlink="">
      <xdr:nvSpPr>
        <xdr:cNvPr id="5" name="TextBox 4">
          <a:extLst>
            <a:ext uri="{FF2B5EF4-FFF2-40B4-BE49-F238E27FC236}">
              <a16:creationId xmlns:a16="http://schemas.microsoft.com/office/drawing/2014/main" id="{DCEE6AAE-BA20-A347-A63B-31CCB7F27A3D}"/>
            </a:ext>
          </a:extLst>
        </xdr:cNvPr>
        <xdr:cNvSpPr txBox="1"/>
      </xdr:nvSpPr>
      <xdr:spPr>
        <a:xfrm>
          <a:off x="83820" y="6324600"/>
          <a:ext cx="7505700" cy="1973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3Q) jun 2022- may 223(12 month ending in may 2023)</a:t>
          </a:r>
        </a:p>
        <a:p>
          <a:r>
            <a:rPr lang="en-IN" sz="1100" b="0" i="0" u="none" strike="noStrike">
              <a:solidFill>
                <a:schemeClr val="dk1"/>
              </a:solidFill>
              <a:effectLst/>
              <a:latin typeface="+mn-lt"/>
              <a:ea typeface="+mn-ea"/>
              <a:cs typeface="+mn-cs"/>
            </a:rPr>
            <a:t>&gt;Food category month--on-month inflation</a:t>
          </a:r>
          <a:r>
            <a:rPr lang="en-IN">
              <a:effectLst/>
            </a:rPr>
            <a:t> </a:t>
          </a:r>
          <a:r>
            <a:rPr lang="en-IN" sz="1100" b="0" i="0" u="none" strike="noStrike">
              <a:solidFill>
                <a:schemeClr val="dk1"/>
              </a:solidFill>
              <a:effectLst/>
              <a:latin typeface="+mn-lt"/>
              <a:ea typeface="+mn-ea"/>
              <a:cs typeface="+mn-cs"/>
            </a:rPr>
            <a:t>&gt;rural+urban sector as there is no mention of sector</a:t>
          </a:r>
        </a:p>
        <a:p>
          <a:r>
            <a:rPr lang="en-IN">
              <a:effectLst/>
            </a:rPr>
            <a:t> </a:t>
          </a:r>
          <a:r>
            <a:rPr lang="en-IN" sz="1100" b="0" i="0" u="none" strike="noStrike">
              <a:solidFill>
                <a:schemeClr val="dk1"/>
              </a:solidFill>
              <a:effectLst/>
              <a:latin typeface="+mn-lt"/>
              <a:ea typeface="+mn-ea"/>
              <a:cs typeface="+mn-cs"/>
            </a:rPr>
            <a:t>&gt;For june, the inflation is calculated as:( Jun2022-May2022) / may 2022</a:t>
          </a:r>
        </a:p>
        <a:p>
          <a:r>
            <a:rPr lang="en-IN">
              <a:effectLst/>
            </a:rPr>
            <a:t> </a:t>
          </a:r>
          <a:r>
            <a:rPr lang="en-IN" sz="1100" b="0" i="0" u="none" strike="noStrike">
              <a:solidFill>
                <a:schemeClr val="dk1"/>
              </a:solidFill>
              <a:effectLst/>
              <a:latin typeface="+mn-lt"/>
              <a:ea typeface="+mn-ea"/>
              <a:cs typeface="+mn-cs"/>
            </a:rPr>
            <a:t>&gt;Follow same for other months</a:t>
          </a:r>
          <a:r>
            <a:rPr lang="en-IN">
              <a:effectLst/>
            </a:rPr>
            <a:t> </a:t>
          </a:r>
        </a:p>
        <a:p>
          <a:r>
            <a:rPr lang="en-IN" sz="1100" b="0" i="0" u="none" strike="noStrike">
              <a:solidFill>
                <a:schemeClr val="dk1"/>
              </a:solidFill>
              <a:effectLst/>
              <a:latin typeface="+mn-lt"/>
              <a:ea typeface="+mn-ea"/>
              <a:cs typeface="+mn-cs"/>
            </a:rPr>
            <a:t>&gt;Highest inflatin: Jun2022, Lowest:dec2022&amp;feb2023</a:t>
          </a:r>
          <a:r>
            <a:rPr lang="en-IN">
              <a:effectLst/>
            </a:rPr>
            <a:t> </a:t>
          </a:r>
        </a:p>
        <a:p>
          <a:r>
            <a:rPr lang="en-IN" sz="1100" b="1" i="0" u="none" strike="noStrike">
              <a:solidFill>
                <a:schemeClr val="dk1"/>
              </a:solidFill>
              <a:effectLst/>
              <a:latin typeface="+mn-lt"/>
              <a:ea typeface="+mn-ea"/>
              <a:cs typeface="+mn-cs"/>
            </a:rPr>
            <a:t>3Q-ii) absolute change in infaltion over 12 months period(Rural+Urban)</a:t>
          </a:r>
        </a:p>
        <a:p>
          <a:r>
            <a:rPr lang="en-IN">
              <a:effectLst/>
            </a:rPr>
            <a:t> </a:t>
          </a:r>
          <a:r>
            <a:rPr lang="en-IN" sz="1100" b="0" i="0" u="none" strike="noStrike">
              <a:solidFill>
                <a:schemeClr val="dk1"/>
              </a:solidFill>
              <a:effectLst/>
              <a:latin typeface="+mn-lt"/>
              <a:ea typeface="+mn-ea"/>
              <a:cs typeface="+mn-cs"/>
            </a:rPr>
            <a:t>&gt;&gt;this becomes a YOY inflation, i.e, Calculate YOY Inflation</a:t>
          </a:r>
        </a:p>
        <a:p>
          <a:r>
            <a:rPr lang="en-IN">
              <a:effectLst/>
            </a:rPr>
            <a:t> </a:t>
          </a:r>
          <a:r>
            <a:rPr lang="en-IN" sz="1100" b="0" i="1" u="none" strike="noStrike">
              <a:solidFill>
                <a:schemeClr val="dk1"/>
              </a:solidFill>
              <a:effectLst/>
              <a:latin typeface="+mn-lt"/>
              <a:ea typeface="+mn-ea"/>
              <a:cs typeface="+mn-cs"/>
            </a:rPr>
            <a:t>&gt;&gt;(May2023-June 2022)/Jun2022</a:t>
          </a:r>
        </a:p>
        <a:p>
          <a:r>
            <a:rPr lang="en-IN">
              <a:effectLst/>
            </a:rPr>
            <a:t> </a:t>
          </a:r>
          <a:r>
            <a:rPr lang="en-IN" sz="1100" b="0" i="0" u="none" strike="noStrike">
              <a:solidFill>
                <a:schemeClr val="dk1"/>
              </a:solidFill>
              <a:effectLst/>
              <a:latin typeface="+mn-lt"/>
              <a:ea typeface="+mn-ea"/>
              <a:cs typeface="+mn-cs"/>
            </a:rPr>
            <a:t>&gt;&gt;Calculate the YOY inflation for all the individual categories under the FOOD categry and identify the highest individual contributor under FOOD category. Eg: Meat&amp;fish  or spices, etc</a:t>
          </a:r>
          <a:r>
            <a:rPr lang="en-IN">
              <a:effectLst/>
            </a:rPr>
            <a:t> </a:t>
          </a:r>
          <a:endParaRPr lang="en-IN" sz="1100" b="1"/>
        </a:p>
      </xdr:txBody>
    </xdr:sp>
    <xdr:clientData/>
  </xdr:twoCellAnchor>
  <xdr:twoCellAnchor>
    <xdr:from>
      <xdr:col>0</xdr:col>
      <xdr:colOff>144780</xdr:colOff>
      <xdr:row>47</xdr:row>
      <xdr:rowOff>144780</xdr:rowOff>
    </xdr:from>
    <xdr:to>
      <xdr:col>11</xdr:col>
      <xdr:colOff>502920</xdr:colOff>
      <xdr:row>53</xdr:row>
      <xdr:rowOff>99060</xdr:rowOff>
    </xdr:to>
    <xdr:sp macro="" textlink="">
      <xdr:nvSpPr>
        <xdr:cNvPr id="6" name="TextBox 5">
          <a:extLst>
            <a:ext uri="{FF2B5EF4-FFF2-40B4-BE49-F238E27FC236}">
              <a16:creationId xmlns:a16="http://schemas.microsoft.com/office/drawing/2014/main" id="{150D7239-68E8-5A30-934B-709562BCB1B8}"/>
            </a:ext>
          </a:extLst>
        </xdr:cNvPr>
        <xdr:cNvSpPr txBox="1"/>
      </xdr:nvSpPr>
      <xdr:spPr>
        <a:xfrm>
          <a:off x="144780" y="8785860"/>
          <a:ext cx="7399020" cy="1051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4Q)Comparision of Inflation Rates pre and Post Covid</a:t>
          </a:r>
          <a:r>
            <a:rPr lang="en-IN">
              <a:effectLst/>
            </a:rPr>
            <a:t> </a:t>
          </a:r>
          <a:br>
            <a:rPr lang="en-IN">
              <a:effectLst/>
            </a:rPr>
          </a:br>
          <a:r>
            <a:rPr lang="en-IN" sz="1100" b="0" i="0" u="none" strike="noStrike">
              <a:solidFill>
                <a:schemeClr val="dk1"/>
              </a:solidFill>
              <a:effectLst/>
              <a:latin typeface="+mn-lt"/>
              <a:ea typeface="+mn-ea"/>
              <a:cs typeface="+mn-cs"/>
            </a:rPr>
            <a:t>&gt;&gt;Identify a pivot point(march 2020)</a:t>
          </a:r>
          <a:br>
            <a:rPr lang="en-IN" sz="1100" b="0" i="0" u="none" strike="noStrike">
              <a:solidFill>
                <a:schemeClr val="dk1"/>
              </a:solidFill>
              <a:effectLst/>
              <a:latin typeface="+mn-lt"/>
              <a:ea typeface="+mn-ea"/>
              <a:cs typeface="+mn-cs"/>
            </a:rPr>
          </a:br>
          <a:r>
            <a:rPr lang="en-IN">
              <a:effectLst/>
            </a:rPr>
            <a:t> </a:t>
          </a:r>
          <a:r>
            <a:rPr lang="en-IN" sz="1100" b="0" i="0" u="none" strike="noStrike">
              <a:solidFill>
                <a:schemeClr val="dk1"/>
              </a:solidFill>
              <a:effectLst/>
              <a:latin typeface="+mn-lt"/>
              <a:ea typeface="+mn-ea"/>
              <a:cs typeface="+mn-cs"/>
            </a:rPr>
            <a:t>&gt;&gt;Analysis is based on Pre-march 2020 and post march 2020</a:t>
          </a:r>
          <a:r>
            <a:rPr lang="en-IN">
              <a:effectLst/>
            </a:rPr>
            <a:t> </a:t>
          </a:r>
          <a:br>
            <a:rPr lang="en-IN">
              <a:effectLst/>
            </a:rPr>
          </a:br>
          <a:r>
            <a:rPr lang="en-IN" sz="1100" b="0" i="0" u="none" strike="noStrike">
              <a:solidFill>
                <a:schemeClr val="dk1"/>
              </a:solidFill>
              <a:effectLst/>
              <a:latin typeface="+mn-lt"/>
              <a:ea typeface="+mn-ea"/>
              <a:cs typeface="+mn-cs"/>
            </a:rPr>
            <a:t>&gt;&gt;Calculate the inflation for any one:(the data points should be the same for both pre and post)</a:t>
          </a:r>
          <a:r>
            <a:rPr lang="en-IN">
              <a:effectLst/>
            </a:rPr>
            <a:t> </a:t>
          </a:r>
          <a:r>
            <a:rPr lang="en-IN" sz="1100" b="0" i="0" u="none" strike="noStrike">
              <a:solidFill>
                <a:schemeClr val="dk1"/>
              </a:solidFill>
              <a:effectLst/>
              <a:latin typeface="+mn-lt"/>
              <a:ea typeface="+mn-ea"/>
              <a:cs typeface="+mn-cs"/>
            </a:rPr>
            <a:t>Quarterly(8 months pre and 8 post)</a:t>
          </a:r>
          <a:r>
            <a:rPr lang="en-IN">
              <a:effectLst/>
            </a:rPr>
            <a:t> </a:t>
          </a:r>
          <a:r>
            <a:rPr lang="en-IN" sz="1100" b="0" i="0" u="none" strike="noStrike">
              <a:solidFill>
                <a:schemeClr val="dk1"/>
              </a:solidFill>
              <a:effectLst/>
              <a:latin typeface="+mn-lt"/>
              <a:ea typeface="+mn-ea"/>
              <a:cs typeface="+mn-cs"/>
            </a:rPr>
            <a:t>Half yearly(4 pre and 4 post)</a:t>
          </a:r>
          <a:r>
            <a:rPr lang="en-IN">
              <a:effectLst/>
            </a:rPr>
            <a:t> </a:t>
          </a:r>
          <a:r>
            <a:rPr lang="en-IN" sz="1100" b="0" i="0" u="none" strike="noStrike">
              <a:solidFill>
                <a:schemeClr val="dk1"/>
              </a:solidFill>
              <a:effectLst/>
              <a:latin typeface="+mn-lt"/>
              <a:ea typeface="+mn-ea"/>
              <a:cs typeface="+mn-cs"/>
            </a:rPr>
            <a:t>Annual(2 years pre and 2 years post)</a:t>
          </a:r>
          <a:r>
            <a:rPr lang="en-IN">
              <a:effectLst/>
            </a:rPr>
            <a:t> </a:t>
          </a:r>
          <a:endParaRPr lang="en-IN" sz="1100"/>
        </a:p>
      </xdr:txBody>
    </xdr:sp>
    <xdr:clientData/>
  </xdr:twoCellAnchor>
  <xdr:twoCellAnchor>
    <xdr:from>
      <xdr:col>0</xdr:col>
      <xdr:colOff>144780</xdr:colOff>
      <xdr:row>56</xdr:row>
      <xdr:rowOff>76200</xdr:rowOff>
    </xdr:from>
    <xdr:to>
      <xdr:col>11</xdr:col>
      <xdr:colOff>487680</xdr:colOff>
      <xdr:row>66</xdr:row>
      <xdr:rowOff>7620</xdr:rowOff>
    </xdr:to>
    <xdr:sp macro="" textlink="">
      <xdr:nvSpPr>
        <xdr:cNvPr id="7" name="TextBox 6">
          <a:extLst>
            <a:ext uri="{FF2B5EF4-FFF2-40B4-BE49-F238E27FC236}">
              <a16:creationId xmlns:a16="http://schemas.microsoft.com/office/drawing/2014/main" id="{284C5909-1978-A105-09E8-93D26B26DACD}"/>
            </a:ext>
          </a:extLst>
        </xdr:cNvPr>
        <xdr:cNvSpPr txBox="1"/>
      </xdr:nvSpPr>
      <xdr:spPr>
        <a:xfrm>
          <a:off x="144780" y="10363200"/>
          <a:ext cx="7383780" cy="1760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5Q)How major globa econo,ic events influenced India's Inflation</a:t>
          </a:r>
          <a:r>
            <a:rPr lang="en-IN">
              <a:effectLst/>
            </a:rPr>
            <a:t> </a:t>
          </a:r>
          <a:br>
            <a:rPr lang="en-IN">
              <a:effectLst/>
            </a:rPr>
          </a:br>
          <a:r>
            <a:rPr lang="en-IN" sz="1100" b="0" i="0" u="none" strike="noStrike">
              <a:solidFill>
                <a:schemeClr val="dk1"/>
              </a:solidFill>
              <a:effectLst/>
              <a:latin typeface="+mn-lt"/>
              <a:ea typeface="+mn-ea"/>
              <a:cs typeface="+mn-cs"/>
            </a:rPr>
            <a:t>&gt;&gt;Imported Oil Price Fluctuations for years 2021 to 2023(MOM Inflation)</a:t>
          </a:r>
          <a:r>
            <a:rPr lang="en-IN">
              <a:effectLst/>
            </a:rPr>
            <a:t> </a:t>
          </a:r>
          <a:r>
            <a:rPr lang="en-IN" sz="1100" b="0" i="0" u="none" strike="noStrike">
              <a:solidFill>
                <a:schemeClr val="dk1"/>
              </a:solidFill>
              <a:effectLst/>
              <a:latin typeface="+mn-lt"/>
              <a:ea typeface="+mn-ea"/>
              <a:cs typeface="+mn-cs"/>
            </a:rPr>
            <a:t>ppac.gov.in-&gt;Get this data Online</a:t>
          </a:r>
          <a:br>
            <a:rPr lang="en-IN" sz="1100" b="0" i="0" u="none" strike="noStrike">
              <a:solidFill>
                <a:schemeClr val="dk1"/>
              </a:solidFill>
              <a:effectLst/>
              <a:latin typeface="+mn-lt"/>
              <a:ea typeface="+mn-ea"/>
              <a:cs typeface="+mn-cs"/>
            </a:rPr>
          </a:br>
          <a:r>
            <a:rPr lang="en-IN">
              <a:effectLst/>
            </a:rPr>
            <a:t> </a:t>
          </a:r>
          <a:r>
            <a:rPr lang="en-IN" sz="1100" b="0" i="0" u="none" strike="noStrike">
              <a:solidFill>
                <a:schemeClr val="dk1"/>
              </a:solidFill>
              <a:effectLst/>
              <a:latin typeface="+mn-lt"/>
              <a:ea typeface="+mn-ea"/>
              <a:cs typeface="+mn-cs"/>
            </a:rPr>
            <a:t>&gt;&gt; You will have oil prices starting from dec 2021 till march 2023(or whatever time period you want)</a:t>
          </a:r>
          <a:r>
            <a:rPr lang="en-IN">
              <a:effectLst/>
            </a:rPr>
            <a:t> </a:t>
          </a:r>
          <a:br>
            <a:rPr lang="en-IN">
              <a:effectLst/>
            </a:rPr>
          </a:br>
          <a:r>
            <a:rPr lang="en-IN" sz="1100" b="0" i="0" u="none" strike="noStrike">
              <a:solidFill>
                <a:schemeClr val="dk1"/>
              </a:solidFill>
              <a:effectLst/>
              <a:latin typeface="+mn-lt"/>
              <a:ea typeface="+mn-ea"/>
              <a:cs typeface="+mn-cs"/>
            </a:rPr>
            <a:t>&gt;&gt;you have index values for Rural+Urban for all the categories</a:t>
          </a:r>
          <a:br>
            <a:rPr lang="en-IN" sz="1100" b="0" i="0" u="none" strike="noStrike">
              <a:solidFill>
                <a:schemeClr val="dk1"/>
              </a:solidFill>
              <a:effectLst/>
              <a:latin typeface="+mn-lt"/>
              <a:ea typeface="+mn-ea"/>
              <a:cs typeface="+mn-cs"/>
            </a:rPr>
          </a:br>
          <a:r>
            <a:rPr lang="en-IN">
              <a:effectLst/>
            </a:rPr>
            <a:t> </a:t>
          </a:r>
          <a:r>
            <a:rPr lang="en-IN" sz="1100" b="0" i="0" u="none" strike="noStrike">
              <a:solidFill>
                <a:schemeClr val="dk1"/>
              </a:solidFill>
              <a:effectLst/>
              <a:latin typeface="+mn-lt"/>
              <a:ea typeface="+mn-ea"/>
              <a:cs typeface="+mn-cs"/>
            </a:rPr>
            <a:t>&gt;&gt;Let's say you want to find the correlation b/w index value of food and beverages and other oil prices value change</a:t>
          </a:r>
          <a:r>
            <a:rPr lang="en-IN">
              <a:effectLst/>
            </a:rPr>
            <a:t> </a:t>
          </a:r>
          <a:r>
            <a:rPr lang="en-IN" sz="1100" b="0" i="0" u="none" strike="noStrike">
              <a:solidFill>
                <a:schemeClr val="dk1"/>
              </a:solidFill>
              <a:effectLst/>
              <a:latin typeface="+mn-lt"/>
              <a:ea typeface="+mn-ea"/>
              <a:cs typeface="+mn-cs"/>
            </a:rPr>
            <a:t>correl(F16:AG16,$F$2:$AG$2)</a:t>
          </a:r>
          <a:r>
            <a:rPr lang="en-IN">
              <a:effectLst/>
            </a:rPr>
            <a:t> </a:t>
          </a:r>
          <a:r>
            <a:rPr lang="en-IN" sz="1100" b="0" i="0" u="none" strike="noStrike">
              <a:solidFill>
                <a:schemeClr val="dk1"/>
              </a:solidFill>
              <a:effectLst/>
              <a:latin typeface="+mn-lt"/>
              <a:ea typeface="+mn-ea"/>
              <a:cs typeface="+mn-cs"/>
            </a:rPr>
            <a:t>F16:AG16-&gt;Index values of Food and beverages over the months(Dec2020 to May 2023)</a:t>
          </a:r>
          <a:r>
            <a:rPr lang="en-IN">
              <a:effectLst/>
            </a:rPr>
            <a:t> </a:t>
          </a:r>
          <a:r>
            <a:rPr lang="en-IN" sz="1100" b="0" i="0" u="none" strike="noStrike">
              <a:solidFill>
                <a:schemeClr val="dk1"/>
              </a:solidFill>
              <a:effectLst/>
              <a:latin typeface="+mn-lt"/>
              <a:ea typeface="+mn-ea"/>
              <a:cs typeface="+mn-cs"/>
            </a:rPr>
            <a:t>F2:AG2-&gt;Crude oil Prices over the months(Dec 2020-March 2023)</a:t>
          </a:r>
          <a:br>
            <a:rPr lang="en-IN" sz="1100" b="0" i="0" u="none" strike="noStrike">
              <a:solidFill>
                <a:schemeClr val="dk1"/>
              </a:solidFill>
              <a:effectLst/>
              <a:latin typeface="+mn-lt"/>
              <a:ea typeface="+mn-ea"/>
              <a:cs typeface="+mn-cs"/>
            </a:rPr>
          </a:br>
          <a:br>
            <a:rPr lang="en-IN" sz="1100" b="0" i="0" u="none" strike="noStrike">
              <a:solidFill>
                <a:schemeClr val="dk1"/>
              </a:solidFill>
              <a:effectLst/>
              <a:latin typeface="+mn-lt"/>
              <a:ea typeface="+mn-ea"/>
              <a:cs typeface="+mn-cs"/>
            </a:rPr>
          </a:br>
          <a:r>
            <a:rPr lang="en-IN">
              <a:effectLst/>
            </a:rPr>
            <a:t> </a:t>
          </a:r>
          <a:r>
            <a:rPr lang="en-IN" sz="1100" b="0" i="0" u="none" strike="noStrike">
              <a:solidFill>
                <a:schemeClr val="dk1"/>
              </a:solidFill>
              <a:effectLst/>
              <a:latin typeface="+mn-lt"/>
              <a:ea typeface="+mn-ea"/>
              <a:cs typeface="+mn-cs"/>
            </a:rPr>
            <a:t>&gt;&gt;Just copy paste the data of dec2020, jan 2020, feb2020,etc from the website to the sheet</a:t>
          </a:r>
          <a:r>
            <a:rPr lang="en-IN">
              <a:effectLst/>
            </a:rPr>
            <a:t> </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12</xdr:col>
      <xdr:colOff>167640</xdr:colOff>
      <xdr:row>35</xdr:row>
      <xdr:rowOff>167640</xdr:rowOff>
    </xdr:to>
    <xdr:pic>
      <xdr:nvPicPr>
        <xdr:cNvPr id="2" name="Picture 1">
          <a:extLst>
            <a:ext uri="{FF2B5EF4-FFF2-40B4-BE49-F238E27FC236}">
              <a16:creationId xmlns:a16="http://schemas.microsoft.com/office/drawing/2014/main" id="{464F2DCD-2180-C62B-1213-2FEE11C53E7F}"/>
            </a:ext>
          </a:extLst>
        </xdr:cNvPr>
        <xdr:cNvPicPr>
          <a:picLocks noChangeAspect="1"/>
        </xdr:cNvPicPr>
      </xdr:nvPicPr>
      <xdr:blipFill>
        <a:blip xmlns:r="http://schemas.openxmlformats.org/officeDocument/2006/relationships" r:embed="rId1"/>
        <a:stretch>
          <a:fillRect/>
        </a:stretch>
      </xdr:blipFill>
      <xdr:spPr>
        <a:xfrm>
          <a:off x="1" y="0"/>
          <a:ext cx="7482839" cy="6568440"/>
        </a:xfrm>
        <a:prstGeom prst="rect">
          <a:avLst/>
        </a:prstGeom>
      </xdr:spPr>
    </xdr:pic>
    <xdr:clientData/>
  </xdr:twoCellAnchor>
  <xdr:twoCellAnchor editAs="oneCell">
    <xdr:from>
      <xdr:col>0</xdr:col>
      <xdr:colOff>0</xdr:colOff>
      <xdr:row>35</xdr:row>
      <xdr:rowOff>152400</xdr:rowOff>
    </xdr:from>
    <xdr:to>
      <xdr:col>12</xdr:col>
      <xdr:colOff>15240</xdr:colOff>
      <xdr:row>51</xdr:row>
      <xdr:rowOff>61256</xdr:rowOff>
    </xdr:to>
    <xdr:pic>
      <xdr:nvPicPr>
        <xdr:cNvPr id="3" name="Picture 2">
          <a:extLst>
            <a:ext uri="{FF2B5EF4-FFF2-40B4-BE49-F238E27FC236}">
              <a16:creationId xmlns:a16="http://schemas.microsoft.com/office/drawing/2014/main" id="{61445018-5C27-3C7C-61FE-DCD63F127585}"/>
            </a:ext>
          </a:extLst>
        </xdr:cNvPr>
        <xdr:cNvPicPr>
          <a:picLocks noChangeAspect="1"/>
        </xdr:cNvPicPr>
      </xdr:nvPicPr>
      <xdr:blipFill rotWithShape="1">
        <a:blip xmlns:r="http://schemas.openxmlformats.org/officeDocument/2006/relationships" r:embed="rId2"/>
        <a:srcRect t="16963"/>
        <a:stretch>
          <a:fillRect/>
        </a:stretch>
      </xdr:blipFill>
      <xdr:spPr>
        <a:xfrm>
          <a:off x="0" y="6553200"/>
          <a:ext cx="7330440" cy="283493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53340</xdr:colOff>
      <xdr:row>10</xdr:row>
      <xdr:rowOff>0</xdr:rowOff>
    </xdr:from>
    <xdr:to>
      <xdr:col>18</xdr:col>
      <xdr:colOff>0</xdr:colOff>
      <xdr:row>25</xdr:row>
      <xdr:rowOff>114301</xdr:rowOff>
    </xdr:to>
    <xdr:graphicFrame macro="">
      <xdr:nvGraphicFramePr>
        <xdr:cNvPr id="4" name="Chart 3">
          <a:extLst>
            <a:ext uri="{FF2B5EF4-FFF2-40B4-BE49-F238E27FC236}">
              <a16:creationId xmlns:a16="http://schemas.microsoft.com/office/drawing/2014/main" id="{4C59D024-2671-F336-DD38-31F79BEFC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52551</xdr:rowOff>
    </xdr:from>
    <xdr:to>
      <xdr:col>17</xdr:col>
      <xdr:colOff>464207</xdr:colOff>
      <xdr:row>5</xdr:row>
      <xdr:rowOff>105103</xdr:rowOff>
    </xdr:to>
    <xdr:sp macro="" textlink="">
      <xdr:nvSpPr>
        <xdr:cNvPr id="5" name="TextBox 4">
          <a:extLst>
            <a:ext uri="{FF2B5EF4-FFF2-40B4-BE49-F238E27FC236}">
              <a16:creationId xmlns:a16="http://schemas.microsoft.com/office/drawing/2014/main" id="{58B00003-81D4-099D-28FA-EE628E535DEF}"/>
            </a:ext>
          </a:extLst>
        </xdr:cNvPr>
        <xdr:cNvSpPr txBox="1"/>
      </xdr:nvSpPr>
      <xdr:spPr>
        <a:xfrm>
          <a:off x="0" y="52551"/>
          <a:ext cx="13216759" cy="972207"/>
        </a:xfrm>
        <a:prstGeom prst="rect">
          <a:avLst/>
        </a:prstGeom>
        <a:solidFill>
          <a:schemeClr val="accent2">
            <a:lumMod val="50000"/>
          </a:schemeClr>
        </a:solidFill>
        <a:ln w="76200"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1</a:t>
          </a:r>
          <a:r>
            <a:rPr lang="en-IN" sz="1400" b="1">
              <a:solidFill>
                <a:schemeClr val="bg1"/>
              </a:solidFill>
            </a:rPr>
            <a:t>. Based on the </a:t>
          </a:r>
          <a:r>
            <a:rPr lang="en-IN" sz="1400" b="1" i="1">
              <a:solidFill>
                <a:schemeClr val="bg1"/>
              </a:solidFill>
            </a:rPr>
            <a:t>latest month's data</a:t>
          </a:r>
          <a:r>
            <a:rPr lang="en-IN" sz="1400" b="1">
              <a:solidFill>
                <a:schemeClr val="bg1"/>
              </a:solidFill>
            </a:rPr>
            <a:t>, identify the contribution of different broader categories (food, energy, transportation, education, etc.) towards the CPI basket. Broader categories (buckets) can be created by combining similar categories into one bucket; Ex.: Meals, Beverages, Cereals, can be clubbed to create "Food" category, etc.</a:t>
          </a:r>
          <a:endParaRPr lang="en-IN" sz="1400">
            <a:solidFill>
              <a:schemeClr val="bg1"/>
            </a:solidFill>
          </a:endParaRPr>
        </a:p>
        <a:p>
          <a:r>
            <a:rPr lang="en-IN" sz="1400" b="1" u="sng">
              <a:solidFill>
                <a:schemeClr val="bg1"/>
              </a:solidFill>
            </a:rPr>
            <a:t>Which broader category has the highest contribution towards CPI calculation?</a:t>
          </a:r>
          <a:endParaRPr lang="en-IN" sz="1400" i="1" u="sng">
            <a:solidFill>
              <a:schemeClr val="bg1"/>
            </a:solidFill>
          </a:endParaRPr>
        </a:p>
        <a:p>
          <a:r>
            <a:rPr lang="en-IN" sz="1400" b="0" i="1">
              <a:solidFill>
                <a:schemeClr val="bg1"/>
              </a:solidFill>
            </a:rPr>
            <a:t>Contribution is calculated by evaluating the underlying index values for broader category and should add to 100% when contribution from different broader categories are added.</a:t>
          </a:r>
        </a:p>
        <a:p>
          <a:endParaRPr lang="en-IN" sz="12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603251</xdr:colOff>
      <xdr:row>8</xdr:row>
      <xdr:rowOff>162984</xdr:rowOff>
    </xdr:from>
    <xdr:to>
      <xdr:col>13</xdr:col>
      <xdr:colOff>70556</xdr:colOff>
      <xdr:row>21</xdr:row>
      <xdr:rowOff>119945</xdr:rowOff>
    </xdr:to>
    <xdr:graphicFrame macro="">
      <xdr:nvGraphicFramePr>
        <xdr:cNvPr id="4" name="Chart 3">
          <a:extLst>
            <a:ext uri="{FF2B5EF4-FFF2-40B4-BE49-F238E27FC236}">
              <a16:creationId xmlns:a16="http://schemas.microsoft.com/office/drawing/2014/main" id="{A9B60CE2-35D6-6599-ED40-686CA696F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49389</xdr:rowOff>
    </xdr:from>
    <xdr:to>
      <xdr:col>13</xdr:col>
      <xdr:colOff>571499</xdr:colOff>
      <xdr:row>4</xdr:row>
      <xdr:rowOff>141111</xdr:rowOff>
    </xdr:to>
    <xdr:sp macro="" textlink="">
      <xdr:nvSpPr>
        <xdr:cNvPr id="2" name="TextBox 1">
          <a:extLst>
            <a:ext uri="{FF2B5EF4-FFF2-40B4-BE49-F238E27FC236}">
              <a16:creationId xmlns:a16="http://schemas.microsoft.com/office/drawing/2014/main" id="{6C3DB93A-43F6-DA7A-5ED6-5B28C95B3448}"/>
            </a:ext>
          </a:extLst>
        </xdr:cNvPr>
        <xdr:cNvSpPr txBox="1"/>
      </xdr:nvSpPr>
      <xdr:spPr>
        <a:xfrm>
          <a:off x="0" y="49389"/>
          <a:ext cx="9355666" cy="825500"/>
        </a:xfrm>
        <a:prstGeom prst="rect">
          <a:avLst/>
        </a:prstGeom>
        <a:solidFill>
          <a:schemeClr val="accent2">
            <a:lumMod val="50000"/>
          </a:schemeClr>
        </a:solidFill>
        <a:ln w="76200"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100" b="1">
              <a:solidFill>
                <a:schemeClr val="bg1"/>
              </a:solidFill>
              <a:latin typeface="+mn-lt"/>
              <a:ea typeface="+mn-ea"/>
              <a:cs typeface="+mn-cs"/>
            </a:rPr>
            <a:t>2. A trend of Y-o-Y increase in CPI (rural + urban) inflation starting 2017 for the entire basket of products combined.</a:t>
          </a:r>
        </a:p>
        <a:p>
          <a:pPr marL="0" indent="0"/>
          <a:r>
            <a:rPr lang="en-IN" sz="1100" b="1">
              <a:solidFill>
                <a:schemeClr val="bg1"/>
              </a:solidFill>
              <a:latin typeface="+mn-lt"/>
              <a:ea typeface="+mn-ea"/>
              <a:cs typeface="+mn-cs"/>
            </a:rPr>
            <a:t>Create a graph depicting the growth rate Y-o-Y and identify the year with highest inflation rate</a:t>
          </a:r>
        </a:p>
        <a:p>
          <a:pPr marL="0" indent="0"/>
          <a:r>
            <a:rPr lang="en-IN" sz="1100" b="1">
              <a:solidFill>
                <a:schemeClr val="bg1"/>
              </a:solidFill>
              <a:latin typeface="+mn-lt"/>
              <a:ea typeface="+mn-ea"/>
              <a:cs typeface="+mn-cs"/>
            </a:rPr>
            <a:t>Highlight the reason why the year has the highest inflation (based on research).</a:t>
          </a:r>
        </a:p>
        <a:p>
          <a:pPr marL="0" indent="0"/>
          <a:endParaRPr lang="en-IN" sz="1100" b="1">
            <a:solidFill>
              <a:schemeClr val="bg1"/>
            </a:solidFill>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17</xdr:col>
      <xdr:colOff>116540</xdr:colOff>
      <xdr:row>8</xdr:row>
      <xdr:rowOff>53788</xdr:rowOff>
    </xdr:from>
    <xdr:to>
      <xdr:col>27</xdr:col>
      <xdr:colOff>-1</xdr:colOff>
      <xdr:row>25</xdr:row>
      <xdr:rowOff>0</xdr:rowOff>
    </xdr:to>
    <xdr:graphicFrame macro="">
      <xdr:nvGraphicFramePr>
        <xdr:cNvPr id="2" name="Chart 1">
          <a:extLst>
            <a:ext uri="{FF2B5EF4-FFF2-40B4-BE49-F238E27FC236}">
              <a16:creationId xmlns:a16="http://schemas.microsoft.com/office/drawing/2014/main" id="{722B4322-3A61-C0DE-4F86-68161BEA93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0</xdr:colOff>
      <xdr:row>17</xdr:row>
      <xdr:rowOff>175260</xdr:rowOff>
    </xdr:from>
    <xdr:to>
      <xdr:col>27</xdr:col>
      <xdr:colOff>0</xdr:colOff>
      <xdr:row>17</xdr:row>
      <xdr:rowOff>175260</xdr:rowOff>
    </xdr:to>
    <xdr:cxnSp macro="">
      <xdr:nvCxnSpPr>
        <xdr:cNvPr id="4" name="Straight Connector 3">
          <a:extLst>
            <a:ext uri="{FF2B5EF4-FFF2-40B4-BE49-F238E27FC236}">
              <a16:creationId xmlns:a16="http://schemas.microsoft.com/office/drawing/2014/main" id="{3A1D05FE-9967-7E54-CF1C-30DFB9D4C83E}"/>
            </a:ext>
          </a:extLst>
        </xdr:cNvPr>
        <xdr:cNvCxnSpPr/>
      </xdr:nvCxnSpPr>
      <xdr:spPr>
        <a:xfrm>
          <a:off x="12839700" y="2232660"/>
          <a:ext cx="4876800"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601980</xdr:colOff>
      <xdr:row>17</xdr:row>
      <xdr:rowOff>60960</xdr:rowOff>
    </xdr:from>
    <xdr:to>
      <xdr:col>19</xdr:col>
      <xdr:colOff>0</xdr:colOff>
      <xdr:row>18</xdr:row>
      <xdr:rowOff>91440</xdr:rowOff>
    </xdr:to>
    <xdr:sp macro="" textlink="">
      <xdr:nvSpPr>
        <xdr:cNvPr id="8" name="TextBox 7">
          <a:extLst>
            <a:ext uri="{FF2B5EF4-FFF2-40B4-BE49-F238E27FC236}">
              <a16:creationId xmlns:a16="http://schemas.microsoft.com/office/drawing/2014/main" id="{655BE70A-63FC-5698-4417-E901DAA4149F}"/>
            </a:ext>
          </a:extLst>
        </xdr:cNvPr>
        <xdr:cNvSpPr txBox="1"/>
      </xdr:nvSpPr>
      <xdr:spPr>
        <a:xfrm>
          <a:off x="12222480" y="2118360"/>
          <a:ext cx="6172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a:t>0.00%</a:t>
          </a:r>
        </a:p>
      </xdr:txBody>
    </xdr:sp>
    <xdr:clientData/>
  </xdr:twoCellAnchor>
  <xdr:twoCellAnchor>
    <xdr:from>
      <xdr:col>22</xdr:col>
      <xdr:colOff>526020</xdr:colOff>
      <xdr:row>10</xdr:row>
      <xdr:rowOff>143580</xdr:rowOff>
    </xdr:from>
    <xdr:to>
      <xdr:col>23</xdr:col>
      <xdr:colOff>312420</xdr:colOff>
      <xdr:row>24</xdr:row>
      <xdr:rowOff>175260</xdr:rowOff>
    </xdr:to>
    <xdr:sp macro="" textlink="">
      <xdr:nvSpPr>
        <xdr:cNvPr id="9" name="Rectangle 8">
          <a:extLst>
            <a:ext uri="{FF2B5EF4-FFF2-40B4-BE49-F238E27FC236}">
              <a16:creationId xmlns:a16="http://schemas.microsoft.com/office/drawing/2014/main" id="{DC71A049-BA49-4DD1-9EC3-7F3D7B4D10F0}"/>
            </a:ext>
          </a:extLst>
        </xdr:cNvPr>
        <xdr:cNvSpPr/>
      </xdr:nvSpPr>
      <xdr:spPr>
        <a:xfrm>
          <a:off x="15194520" y="920820"/>
          <a:ext cx="396000" cy="2592000"/>
        </a:xfrm>
        <a:prstGeom prst="rect">
          <a:avLst/>
        </a:prstGeom>
        <a:noFill/>
        <a:ln w="25400">
          <a:solidFill>
            <a:srgbClr val="00B050"/>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0</xdr:colOff>
      <xdr:row>10</xdr:row>
      <xdr:rowOff>137160</xdr:rowOff>
    </xdr:from>
    <xdr:to>
      <xdr:col>19</xdr:col>
      <xdr:colOff>396000</xdr:colOff>
      <xdr:row>24</xdr:row>
      <xdr:rowOff>168840</xdr:rowOff>
    </xdr:to>
    <xdr:sp macro="" textlink="">
      <xdr:nvSpPr>
        <xdr:cNvPr id="10" name="Rectangle 9">
          <a:extLst>
            <a:ext uri="{FF2B5EF4-FFF2-40B4-BE49-F238E27FC236}">
              <a16:creationId xmlns:a16="http://schemas.microsoft.com/office/drawing/2014/main" id="{B4147E47-53CD-45D0-B8B9-97031FF3F53E}"/>
            </a:ext>
          </a:extLst>
        </xdr:cNvPr>
        <xdr:cNvSpPr/>
      </xdr:nvSpPr>
      <xdr:spPr>
        <a:xfrm>
          <a:off x="12839700" y="914400"/>
          <a:ext cx="396000" cy="2592000"/>
        </a:xfrm>
        <a:prstGeom prst="rect">
          <a:avLst/>
        </a:prstGeom>
        <a:noFill/>
        <a:ln w="25400">
          <a:solidFill>
            <a:srgbClr val="FF0000"/>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75660</xdr:colOff>
      <xdr:row>10</xdr:row>
      <xdr:rowOff>166440</xdr:rowOff>
    </xdr:from>
    <xdr:to>
      <xdr:col>24</xdr:col>
      <xdr:colOff>471660</xdr:colOff>
      <xdr:row>24</xdr:row>
      <xdr:rowOff>162120</xdr:rowOff>
    </xdr:to>
    <xdr:sp macro="" textlink="">
      <xdr:nvSpPr>
        <xdr:cNvPr id="11" name="Rectangle 10">
          <a:extLst>
            <a:ext uri="{FF2B5EF4-FFF2-40B4-BE49-F238E27FC236}">
              <a16:creationId xmlns:a16="http://schemas.microsoft.com/office/drawing/2014/main" id="{3F405209-2BD4-4759-AE84-220300B3A151}"/>
            </a:ext>
          </a:extLst>
        </xdr:cNvPr>
        <xdr:cNvSpPr/>
      </xdr:nvSpPr>
      <xdr:spPr>
        <a:xfrm flipH="1">
          <a:off x="15963360" y="943680"/>
          <a:ext cx="396000" cy="2556000"/>
        </a:xfrm>
        <a:prstGeom prst="rect">
          <a:avLst/>
        </a:prstGeom>
        <a:noFill/>
        <a:ln w="25400">
          <a:solidFill>
            <a:srgbClr val="00B050"/>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89647</xdr:colOff>
      <xdr:row>0</xdr:row>
      <xdr:rowOff>26894</xdr:rowOff>
    </xdr:from>
    <xdr:to>
      <xdr:col>23</xdr:col>
      <xdr:colOff>519952</xdr:colOff>
      <xdr:row>7</xdr:row>
      <xdr:rowOff>8965</xdr:rowOff>
    </xdr:to>
    <xdr:sp macro="" textlink="">
      <xdr:nvSpPr>
        <xdr:cNvPr id="3" name="TextBox 2">
          <a:extLst>
            <a:ext uri="{FF2B5EF4-FFF2-40B4-BE49-F238E27FC236}">
              <a16:creationId xmlns:a16="http://schemas.microsoft.com/office/drawing/2014/main" id="{8B371982-B165-DD41-0A66-EDF0D0EF4ACE}"/>
            </a:ext>
          </a:extLst>
        </xdr:cNvPr>
        <xdr:cNvSpPr txBox="1"/>
      </xdr:nvSpPr>
      <xdr:spPr>
        <a:xfrm>
          <a:off x="89647" y="26894"/>
          <a:ext cx="15715129" cy="1237130"/>
        </a:xfrm>
        <a:prstGeom prst="rect">
          <a:avLst/>
        </a:prstGeom>
        <a:solidFill>
          <a:schemeClr val="accent2">
            <a:lumMod val="50000"/>
          </a:schemeClr>
        </a:solidFill>
        <a:ln w="76200"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mn-lt"/>
              <a:ea typeface="+mn-ea"/>
              <a:cs typeface="+mn-cs"/>
            </a:rPr>
            <a:t>3. With India’s retail inflation reaching a 3-month high of 5.55% in November 2023, largely due to a sharp rise in food prices. Analyze the following for 12 months </a:t>
          </a:r>
          <a:r>
            <a:rPr lang="en-IN" sz="1400" b="1" u="sng">
              <a:solidFill>
                <a:schemeClr val="bg1"/>
              </a:solidFill>
              <a:latin typeface="+mn-lt"/>
              <a:ea typeface="+mn-ea"/>
              <a:cs typeface="+mn-cs"/>
            </a:rPr>
            <a:t>ending May’23</a:t>
          </a:r>
        </a:p>
        <a:p>
          <a:endParaRPr lang="en-IN" sz="1400" b="1">
            <a:solidFill>
              <a:schemeClr val="bg1"/>
            </a:solidFill>
            <a:latin typeface="+mn-lt"/>
            <a:ea typeface="+mn-ea"/>
            <a:cs typeface="+mn-cs"/>
          </a:endParaRPr>
        </a:p>
        <a:p>
          <a:r>
            <a:rPr lang="en-IN" sz="1400" b="1">
              <a:solidFill>
                <a:schemeClr val="bg1"/>
              </a:solidFill>
              <a:latin typeface="+mn-lt"/>
              <a:ea typeface="+mn-ea"/>
              <a:cs typeface="+mn-cs"/>
            </a:rPr>
            <a:t>a.Investigate trends in the prices of broader food bucket category and evaluate month-on-month changes. </a:t>
          </a:r>
          <a:r>
            <a:rPr lang="en-IN" sz="1400" b="1" u="sng">
              <a:solidFill>
                <a:schemeClr val="bg1"/>
              </a:solidFill>
              <a:latin typeface="+mn-lt"/>
              <a:ea typeface="+mn-ea"/>
              <a:cs typeface="+mn-cs"/>
            </a:rPr>
            <a:t>Highlight month with highest and lowest food inflation</a:t>
          </a:r>
        </a:p>
        <a:p>
          <a:endParaRPr lang="en-IN" sz="1400" b="1">
            <a:solidFill>
              <a:schemeClr val="bg1"/>
            </a:solidFill>
            <a:latin typeface="+mn-lt"/>
            <a:ea typeface="+mn-ea"/>
            <a:cs typeface="+mn-cs"/>
          </a:endParaRPr>
        </a:p>
        <a:p>
          <a:r>
            <a:rPr lang="en-IN" sz="1400" b="1">
              <a:solidFill>
                <a:schemeClr val="bg1"/>
              </a:solidFill>
              <a:latin typeface="+mn-lt"/>
              <a:ea typeface="+mn-ea"/>
              <a:cs typeface="+mn-cs"/>
            </a:rPr>
            <a:t>b.Identify the absolute changes in inflation over the same 12 months period and identify </a:t>
          </a:r>
          <a:r>
            <a:rPr lang="en-IN" sz="1400" b="1" u="sng">
              <a:solidFill>
                <a:schemeClr val="bg1"/>
              </a:solidFill>
              <a:latin typeface="+mn-lt"/>
              <a:ea typeface="+mn-ea"/>
              <a:cs typeface="+mn-cs"/>
            </a:rPr>
            <a:t>the biggest individual category contributor (only within broader food category) towards inflation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6</xdr:row>
      <xdr:rowOff>0</xdr:rowOff>
    </xdr:from>
    <xdr:to>
      <xdr:col>17</xdr:col>
      <xdr:colOff>0</xdr:colOff>
      <xdr:row>23</xdr:row>
      <xdr:rowOff>0</xdr:rowOff>
    </xdr:to>
    <xdr:graphicFrame macro="">
      <xdr:nvGraphicFramePr>
        <xdr:cNvPr id="9" name="Chart 8">
          <a:extLst>
            <a:ext uri="{FF2B5EF4-FFF2-40B4-BE49-F238E27FC236}">
              <a16:creationId xmlns:a16="http://schemas.microsoft.com/office/drawing/2014/main" id="{CD38D821-83FC-8D61-E8FF-D386BC361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7327</xdr:colOff>
      <xdr:row>13</xdr:row>
      <xdr:rowOff>87923</xdr:rowOff>
    </xdr:from>
    <xdr:to>
      <xdr:col>17</xdr:col>
      <xdr:colOff>0</xdr:colOff>
      <xdr:row>13</xdr:row>
      <xdr:rowOff>87923</xdr:rowOff>
    </xdr:to>
    <xdr:cxnSp macro="">
      <xdr:nvCxnSpPr>
        <xdr:cNvPr id="13" name="Straight Connector 12">
          <a:extLst>
            <a:ext uri="{FF2B5EF4-FFF2-40B4-BE49-F238E27FC236}">
              <a16:creationId xmlns:a16="http://schemas.microsoft.com/office/drawing/2014/main" id="{91D9B6F1-3D67-E15F-B994-36778696F0C4}"/>
            </a:ext>
          </a:extLst>
        </xdr:cNvPr>
        <xdr:cNvCxnSpPr/>
      </xdr:nvCxnSpPr>
      <xdr:spPr>
        <a:xfrm>
          <a:off x="7568712" y="2117481"/>
          <a:ext cx="5465884" cy="0"/>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13</xdr:row>
      <xdr:rowOff>0</xdr:rowOff>
    </xdr:from>
    <xdr:to>
      <xdr:col>8</xdr:col>
      <xdr:colOff>45715</xdr:colOff>
      <xdr:row>14</xdr:row>
      <xdr:rowOff>0</xdr:rowOff>
    </xdr:to>
    <xdr:sp macro="" textlink="">
      <xdr:nvSpPr>
        <xdr:cNvPr id="16" name="TextBox 15">
          <a:extLst>
            <a:ext uri="{FF2B5EF4-FFF2-40B4-BE49-F238E27FC236}">
              <a16:creationId xmlns:a16="http://schemas.microsoft.com/office/drawing/2014/main" id="{BEC43C9F-0652-E75D-B539-74BA33500411}"/>
            </a:ext>
          </a:extLst>
        </xdr:cNvPr>
        <xdr:cNvSpPr txBox="1"/>
      </xdr:nvSpPr>
      <xdr:spPr>
        <a:xfrm flipH="1">
          <a:off x="6953250" y="2029558"/>
          <a:ext cx="653850" cy="183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0%</a:t>
          </a:r>
        </a:p>
      </xdr:txBody>
    </xdr:sp>
    <xdr:clientData/>
  </xdr:twoCellAnchor>
  <xdr:twoCellAnchor>
    <xdr:from>
      <xdr:col>14</xdr:col>
      <xdr:colOff>410308</xdr:colOff>
      <xdr:row>8</xdr:row>
      <xdr:rowOff>1</xdr:rowOff>
    </xdr:from>
    <xdr:to>
      <xdr:col>15</xdr:col>
      <xdr:colOff>210527</xdr:colOff>
      <xdr:row>23</xdr:row>
      <xdr:rowOff>1</xdr:rowOff>
    </xdr:to>
    <xdr:sp macro="" textlink="">
      <xdr:nvSpPr>
        <xdr:cNvPr id="17" name="Rectangle 16">
          <a:extLst>
            <a:ext uri="{FF2B5EF4-FFF2-40B4-BE49-F238E27FC236}">
              <a16:creationId xmlns:a16="http://schemas.microsoft.com/office/drawing/2014/main" id="{627649D7-76A5-6240-6B4E-F3AA96D026E9}"/>
            </a:ext>
          </a:extLst>
        </xdr:cNvPr>
        <xdr:cNvSpPr/>
      </xdr:nvSpPr>
      <xdr:spPr>
        <a:xfrm>
          <a:off x="11620500" y="1113693"/>
          <a:ext cx="408354" cy="2747596"/>
        </a:xfrm>
        <a:prstGeom prst="rect">
          <a:avLst/>
        </a:prstGeom>
        <a:noFill/>
        <a:ln w="19050">
          <a:solidFill>
            <a:srgbClr val="FF0000"/>
          </a:solidFill>
          <a:prstDash val="dash"/>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90236</xdr:colOff>
      <xdr:row>0</xdr:row>
      <xdr:rowOff>40105</xdr:rowOff>
    </xdr:from>
    <xdr:to>
      <xdr:col>16</xdr:col>
      <xdr:colOff>551446</xdr:colOff>
      <xdr:row>4</xdr:row>
      <xdr:rowOff>10026</xdr:rowOff>
    </xdr:to>
    <xdr:sp macro="" textlink="">
      <xdr:nvSpPr>
        <xdr:cNvPr id="2" name="TextBox 1">
          <a:extLst>
            <a:ext uri="{FF2B5EF4-FFF2-40B4-BE49-F238E27FC236}">
              <a16:creationId xmlns:a16="http://schemas.microsoft.com/office/drawing/2014/main" id="{9751662B-943F-1A19-EFE1-270353462C36}"/>
            </a:ext>
          </a:extLst>
        </xdr:cNvPr>
        <xdr:cNvSpPr txBox="1"/>
      </xdr:nvSpPr>
      <xdr:spPr>
        <a:xfrm>
          <a:off x="90236" y="40105"/>
          <a:ext cx="13184605" cy="691816"/>
        </a:xfrm>
        <a:prstGeom prst="rect">
          <a:avLst/>
        </a:prstGeom>
        <a:solidFill>
          <a:schemeClr val="accent2">
            <a:lumMod val="50000"/>
          </a:schemeClr>
        </a:solidFill>
        <a:ln w="76200"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bg1"/>
              </a:solidFill>
              <a:effectLst/>
              <a:latin typeface="+mn-lt"/>
              <a:ea typeface="+mn-ea"/>
              <a:cs typeface="+mn-cs"/>
            </a:rPr>
            <a:t>b.Identify the absolute changes in inflation over the same 12 months period and identify </a:t>
          </a:r>
          <a:r>
            <a:rPr lang="en-IN" sz="1600" b="1" u="sng">
              <a:solidFill>
                <a:schemeClr val="bg1"/>
              </a:solidFill>
              <a:effectLst/>
              <a:latin typeface="+mn-lt"/>
              <a:ea typeface="+mn-ea"/>
              <a:cs typeface="+mn-cs"/>
            </a:rPr>
            <a:t>the biggest individual category contributor (only within broader food category) towards inflation</a:t>
          </a:r>
          <a:endParaRPr lang="en-IN" sz="1600">
            <a:solidFill>
              <a:schemeClr val="bg1"/>
            </a:solidFill>
            <a:effectLst/>
          </a:endParaRPr>
        </a:p>
        <a:p>
          <a:endParaRPr lang="en-IN" sz="1600" kern="1200">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190500</xdr:colOff>
      <xdr:row>7</xdr:row>
      <xdr:rowOff>50800</xdr:rowOff>
    </xdr:from>
    <xdr:to>
      <xdr:col>16</xdr:col>
      <xdr:colOff>508000</xdr:colOff>
      <xdr:row>18</xdr:row>
      <xdr:rowOff>95250</xdr:rowOff>
    </xdr:to>
    <xdr:graphicFrame macro="">
      <xdr:nvGraphicFramePr>
        <xdr:cNvPr id="2" name="Chart 1">
          <a:extLst>
            <a:ext uri="{FF2B5EF4-FFF2-40B4-BE49-F238E27FC236}">
              <a16:creationId xmlns:a16="http://schemas.microsoft.com/office/drawing/2014/main" id="{A4DDA86C-909F-B77F-6A37-356325C8E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99060</xdr:colOff>
      <xdr:row>30</xdr:row>
      <xdr:rowOff>57150</xdr:rowOff>
    </xdr:from>
    <xdr:to>
      <xdr:col>16</xdr:col>
      <xdr:colOff>556260</xdr:colOff>
      <xdr:row>42</xdr:row>
      <xdr:rowOff>57150</xdr:rowOff>
    </xdr:to>
    <xdr:graphicFrame macro="">
      <xdr:nvGraphicFramePr>
        <xdr:cNvPr id="3" name="Chart 2">
          <a:extLst>
            <a:ext uri="{FF2B5EF4-FFF2-40B4-BE49-F238E27FC236}">
              <a16:creationId xmlns:a16="http://schemas.microsoft.com/office/drawing/2014/main" id="{C6CE94AC-16C4-335E-2437-E48EFD183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164344</xdr:colOff>
      <xdr:row>53</xdr:row>
      <xdr:rowOff>148590</xdr:rowOff>
    </xdr:from>
    <xdr:to>
      <xdr:col>17</xdr:col>
      <xdr:colOff>225304</xdr:colOff>
      <xdr:row>65</xdr:row>
      <xdr:rowOff>148590</xdr:rowOff>
    </xdr:to>
    <xdr:graphicFrame macro="">
      <xdr:nvGraphicFramePr>
        <xdr:cNvPr id="4" name="Chart 3">
          <a:extLst>
            <a:ext uri="{FF2B5EF4-FFF2-40B4-BE49-F238E27FC236}">
              <a16:creationId xmlns:a16="http://schemas.microsoft.com/office/drawing/2014/main" id="{78C20054-986B-F6B7-15E6-55642631D6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16213</xdr:colOff>
      <xdr:row>19</xdr:row>
      <xdr:rowOff>154020</xdr:rowOff>
    </xdr:from>
    <xdr:to>
      <xdr:col>17</xdr:col>
      <xdr:colOff>48638</xdr:colOff>
      <xdr:row>26</xdr:row>
      <xdr:rowOff>89169</xdr:rowOff>
    </xdr:to>
    <xdr:sp macro="" textlink="">
      <xdr:nvSpPr>
        <xdr:cNvPr id="5" name="TextBox 4">
          <a:extLst>
            <a:ext uri="{FF2B5EF4-FFF2-40B4-BE49-F238E27FC236}">
              <a16:creationId xmlns:a16="http://schemas.microsoft.com/office/drawing/2014/main" id="{6DA071C5-70F7-C597-F769-F40E5C9F2E58}"/>
            </a:ext>
          </a:extLst>
        </xdr:cNvPr>
        <xdr:cNvSpPr txBox="1"/>
      </xdr:nvSpPr>
      <xdr:spPr>
        <a:xfrm>
          <a:off x="9427724" y="3120956"/>
          <a:ext cx="4288276" cy="1240277"/>
        </a:xfrm>
        <a:prstGeom prst="rect">
          <a:avLst/>
        </a:prstGeom>
        <a:solidFill>
          <a:schemeClr val="accent1">
            <a:lumMod val="20000"/>
            <a:lumOff val="80000"/>
          </a:schemeClr>
        </a:solidFill>
        <a:ln w="9525" cmpd="sng">
          <a:solidFill>
            <a:srgbClr val="88082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&gt;While </a:t>
          </a:r>
          <a:r>
            <a:rPr lang="en-IN" sz="1100" b="1"/>
            <a:t>health</a:t>
          </a:r>
          <a:r>
            <a:rPr lang="en-IN" sz="1100"/>
            <a:t> had the highest inflation in </a:t>
          </a:r>
          <a:r>
            <a:rPr lang="en-IN" sz="1100" b="1"/>
            <a:t>2018–2019</a:t>
          </a:r>
          <a:r>
            <a:rPr lang="en-IN" sz="1100"/>
            <a:t> at </a:t>
          </a:r>
          <a:r>
            <a:rPr lang="en-IN" sz="1100" b="1">
              <a:solidFill>
                <a:sysClr val="windowText" lastClr="000000"/>
              </a:solidFill>
            </a:rPr>
            <a:t>9.7%, </a:t>
          </a:r>
          <a:r>
            <a:rPr lang="en-IN" sz="1100"/>
            <a:t>it was</a:t>
          </a:r>
          <a:r>
            <a:rPr lang="en-IN" sz="1100" baseline="0"/>
            <a:t> the lowest at</a:t>
          </a:r>
          <a:r>
            <a:rPr lang="en-IN" sz="1100"/>
            <a:t> </a:t>
          </a:r>
          <a:r>
            <a:rPr lang="en-IN" sz="1100" b="1"/>
            <a:t>3.9%</a:t>
          </a:r>
          <a:r>
            <a:rPr lang="en-IN" sz="1100"/>
            <a:t> in </a:t>
          </a:r>
          <a:r>
            <a:rPr lang="en-IN" sz="1100" b="1"/>
            <a:t>2019–2020</a:t>
          </a:r>
          <a:r>
            <a:rPr lang="en-IN" sz="1100"/>
            <a:t>.</a:t>
          </a:r>
        </a:p>
        <a:p>
          <a:r>
            <a:rPr lang="en-IN" sz="1100"/>
            <a:t>&gt;</a:t>
          </a:r>
          <a:r>
            <a:rPr lang="en-IN" sz="1100" b="1"/>
            <a:t>Food</a:t>
          </a:r>
          <a:r>
            <a:rPr lang="en-IN" sz="1100"/>
            <a:t> saw deflation at </a:t>
          </a:r>
          <a:r>
            <a:rPr lang="en-IN" sz="1100" b="1">
              <a:solidFill>
                <a:sysClr val="windowText" lastClr="000000"/>
              </a:solidFill>
            </a:rPr>
            <a:t>–1.7% </a:t>
          </a:r>
          <a:r>
            <a:rPr lang="en-IN" sz="1100"/>
            <a:t>in </a:t>
          </a:r>
          <a:r>
            <a:rPr lang="en-IN" sz="1100" b="1"/>
            <a:t>2018–2019</a:t>
          </a:r>
          <a:r>
            <a:rPr lang="en-IN" sz="1100"/>
            <a:t>, but recorded the highest inflation in </a:t>
          </a:r>
          <a:r>
            <a:rPr lang="en-IN" sz="1100" b="1"/>
            <a:t>2019–2020</a:t>
          </a:r>
          <a:r>
            <a:rPr lang="en-IN" sz="1100"/>
            <a:t> at </a:t>
          </a:r>
          <a:r>
            <a:rPr lang="en-IN" sz="1100" b="1"/>
            <a:t>9.0%</a:t>
          </a:r>
          <a:r>
            <a:rPr lang="en-IN" sz="1100"/>
            <a:t>.</a:t>
          </a:r>
        </a:p>
        <a:p>
          <a:r>
            <a:rPr lang="en-IN" sz="1100"/>
            <a:t>&gt;</a:t>
          </a:r>
          <a:r>
            <a:rPr lang="en-IN" sz="1100" b="1"/>
            <a:t>Essentials</a:t>
          </a:r>
          <a:r>
            <a:rPr lang="en-IN" sz="1100"/>
            <a:t> saw moderate inflation at </a:t>
          </a:r>
          <a:r>
            <a:rPr lang="en-IN" sz="1100" b="1"/>
            <a:t>3.3%</a:t>
          </a:r>
          <a:r>
            <a:rPr lang="en-IN" sz="1100"/>
            <a:t> in </a:t>
          </a:r>
          <a:r>
            <a:rPr lang="en-IN" sz="1100" b="1"/>
            <a:t>2018–2019</a:t>
          </a:r>
          <a:r>
            <a:rPr lang="en-IN" sz="1100"/>
            <a:t>, which further increased to </a:t>
          </a:r>
          <a:r>
            <a:rPr lang="en-IN" sz="1100" b="1"/>
            <a:t>5.2%</a:t>
          </a:r>
          <a:r>
            <a:rPr lang="en-IN" sz="1100"/>
            <a:t> in </a:t>
          </a:r>
          <a:r>
            <a:rPr lang="en-IN" sz="1100" b="1"/>
            <a:t>2019–2020.</a:t>
          </a:r>
        </a:p>
      </xdr:txBody>
    </xdr:sp>
    <xdr:clientData/>
  </xdr:twoCellAnchor>
  <xdr:twoCellAnchor>
    <xdr:from>
      <xdr:col>10</xdr:col>
      <xdr:colOff>16212</xdr:colOff>
      <xdr:row>43</xdr:row>
      <xdr:rowOff>174356</xdr:rowOff>
    </xdr:from>
    <xdr:to>
      <xdr:col>17</xdr:col>
      <xdr:colOff>8106</xdr:colOff>
      <xdr:row>51</xdr:row>
      <xdr:rowOff>12915</xdr:rowOff>
    </xdr:to>
    <xdr:sp macro="" textlink="">
      <xdr:nvSpPr>
        <xdr:cNvPr id="6" name="TextBox 5">
          <a:extLst>
            <a:ext uri="{FF2B5EF4-FFF2-40B4-BE49-F238E27FC236}">
              <a16:creationId xmlns:a16="http://schemas.microsoft.com/office/drawing/2014/main" id="{DB822521-9C3C-A73B-25D3-325CD0388C8A}"/>
            </a:ext>
          </a:extLst>
        </xdr:cNvPr>
        <xdr:cNvSpPr txBox="1"/>
      </xdr:nvSpPr>
      <xdr:spPr>
        <a:xfrm>
          <a:off x="9418517" y="7962254"/>
          <a:ext cx="4241013" cy="1285068"/>
        </a:xfrm>
        <a:prstGeom prst="rect">
          <a:avLst/>
        </a:prstGeom>
        <a:solidFill>
          <a:schemeClr val="accent1">
            <a:lumMod val="20000"/>
            <a:lumOff val="80000"/>
          </a:schemeClr>
        </a:solidFill>
        <a:ln w="9525" cmpd="sng">
          <a:solidFill>
            <a:srgbClr val="88082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100">
              <a:solidFill>
                <a:schemeClr val="dk1"/>
              </a:solidFill>
              <a:effectLst/>
              <a:latin typeface="+mn-lt"/>
              <a:ea typeface="+mn-ea"/>
              <a:cs typeface="+mn-cs"/>
            </a:rPr>
            <a:t>&gt;While </a:t>
          </a:r>
          <a:r>
            <a:rPr lang="en-IN" sz="1100" b="1">
              <a:solidFill>
                <a:schemeClr val="dk1"/>
              </a:solidFill>
              <a:effectLst/>
              <a:latin typeface="+mn-lt"/>
              <a:ea typeface="+mn-ea"/>
              <a:cs typeface="+mn-cs"/>
            </a:rPr>
            <a:t>health</a:t>
          </a:r>
          <a:r>
            <a:rPr lang="en-IN" sz="1100">
              <a:solidFill>
                <a:schemeClr val="dk1"/>
              </a:solidFill>
              <a:effectLst/>
              <a:latin typeface="+mn-lt"/>
              <a:ea typeface="+mn-ea"/>
              <a:cs typeface="+mn-cs"/>
            </a:rPr>
            <a:t> had the highest inflation in </a:t>
          </a:r>
          <a:r>
            <a:rPr lang="en-IN" sz="1100" b="1">
              <a:solidFill>
                <a:schemeClr val="dk1"/>
              </a:solidFill>
              <a:effectLst/>
              <a:latin typeface="+mn-lt"/>
              <a:ea typeface="+mn-ea"/>
              <a:cs typeface="+mn-cs"/>
            </a:rPr>
            <a:t>2018–2019</a:t>
          </a:r>
          <a:r>
            <a:rPr lang="en-IN" sz="1100">
              <a:solidFill>
                <a:schemeClr val="dk1"/>
              </a:solidFill>
              <a:effectLst/>
              <a:latin typeface="+mn-lt"/>
              <a:ea typeface="+mn-ea"/>
              <a:cs typeface="+mn-cs"/>
            </a:rPr>
            <a:t> at </a:t>
          </a:r>
          <a:r>
            <a:rPr lang="en-IN" sz="1100" b="1">
              <a:solidFill>
                <a:schemeClr val="dk1"/>
              </a:solidFill>
              <a:effectLst/>
              <a:latin typeface="+mn-lt"/>
              <a:ea typeface="+mn-ea"/>
              <a:cs typeface="+mn-cs"/>
            </a:rPr>
            <a:t>8.4%</a:t>
          </a:r>
          <a:r>
            <a:rPr lang="en-IN" sz="1100">
              <a:solidFill>
                <a:schemeClr val="dk1"/>
              </a:solidFill>
              <a:effectLst/>
              <a:latin typeface="+mn-lt"/>
              <a:ea typeface="+mn-ea"/>
              <a:cs typeface="+mn-cs"/>
            </a:rPr>
            <a:t>, it was</a:t>
          </a:r>
          <a:r>
            <a:rPr lang="en-IN" sz="1100" baseline="0">
              <a:solidFill>
                <a:schemeClr val="dk1"/>
              </a:solidFill>
              <a:effectLst/>
              <a:latin typeface="+mn-lt"/>
              <a:ea typeface="+mn-ea"/>
              <a:cs typeface="+mn-cs"/>
            </a:rPr>
            <a:t> the lowest at</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3.8%</a:t>
          </a:r>
          <a:r>
            <a:rPr lang="en-IN" sz="1100">
              <a:solidFill>
                <a:schemeClr val="dk1"/>
              </a:solidFill>
              <a:effectLst/>
              <a:latin typeface="+mn-lt"/>
              <a:ea typeface="+mn-ea"/>
              <a:cs typeface="+mn-cs"/>
            </a:rPr>
            <a:t> in </a:t>
          </a:r>
          <a:r>
            <a:rPr lang="en-IN" sz="1100" b="1">
              <a:solidFill>
                <a:schemeClr val="dk1"/>
              </a:solidFill>
              <a:effectLst/>
              <a:latin typeface="+mn-lt"/>
              <a:ea typeface="+mn-ea"/>
              <a:cs typeface="+mn-cs"/>
            </a:rPr>
            <a:t>2019–2020.</a:t>
          </a:r>
          <a:endParaRPr lang="en-IN" b="1">
            <a:effectLst/>
          </a:endParaRPr>
        </a:p>
        <a:p>
          <a:r>
            <a:rPr lang="en-IN" sz="1100">
              <a:solidFill>
                <a:schemeClr val="dk1"/>
              </a:solidFill>
              <a:effectLst/>
              <a:latin typeface="+mn-lt"/>
              <a:ea typeface="+mn-ea"/>
              <a:cs typeface="+mn-cs"/>
            </a:rPr>
            <a:t>&gt;</a:t>
          </a:r>
          <a:r>
            <a:rPr lang="en-IN" sz="1100" b="1">
              <a:solidFill>
                <a:schemeClr val="dk1"/>
              </a:solidFill>
              <a:effectLst/>
              <a:latin typeface="+mn-lt"/>
              <a:ea typeface="+mn-ea"/>
              <a:cs typeface="+mn-cs"/>
            </a:rPr>
            <a:t>Food</a:t>
          </a:r>
          <a:r>
            <a:rPr lang="en-IN" sz="1100">
              <a:solidFill>
                <a:schemeClr val="dk1"/>
              </a:solidFill>
              <a:effectLst/>
              <a:latin typeface="+mn-lt"/>
              <a:ea typeface="+mn-ea"/>
              <a:cs typeface="+mn-cs"/>
            </a:rPr>
            <a:t> saw deflation at </a:t>
          </a:r>
          <a:r>
            <a:rPr lang="en-IN" sz="1100" b="1">
              <a:solidFill>
                <a:schemeClr val="dk1"/>
              </a:solidFill>
              <a:effectLst/>
              <a:latin typeface="+mn-lt"/>
              <a:ea typeface="+mn-ea"/>
              <a:cs typeface="+mn-cs"/>
            </a:rPr>
            <a:t>–0.2% </a:t>
          </a:r>
          <a:r>
            <a:rPr lang="en-IN" sz="1100">
              <a:solidFill>
                <a:schemeClr val="dk1"/>
              </a:solidFill>
              <a:effectLst/>
              <a:latin typeface="+mn-lt"/>
              <a:ea typeface="+mn-ea"/>
              <a:cs typeface="+mn-cs"/>
            </a:rPr>
            <a:t>in </a:t>
          </a:r>
          <a:r>
            <a:rPr lang="en-IN" sz="1100" b="1">
              <a:solidFill>
                <a:schemeClr val="dk1"/>
              </a:solidFill>
              <a:effectLst/>
              <a:latin typeface="+mn-lt"/>
              <a:ea typeface="+mn-ea"/>
              <a:cs typeface="+mn-cs"/>
            </a:rPr>
            <a:t>2018–2019</a:t>
          </a:r>
          <a:r>
            <a:rPr lang="en-IN" sz="1100">
              <a:solidFill>
                <a:schemeClr val="dk1"/>
              </a:solidFill>
              <a:effectLst/>
              <a:latin typeface="+mn-lt"/>
              <a:ea typeface="+mn-ea"/>
              <a:cs typeface="+mn-cs"/>
            </a:rPr>
            <a:t>, but recorded the highest inflation in </a:t>
          </a:r>
          <a:r>
            <a:rPr lang="en-IN" sz="1100" b="1">
              <a:solidFill>
                <a:schemeClr val="dk1"/>
              </a:solidFill>
              <a:effectLst/>
              <a:latin typeface="+mn-lt"/>
              <a:ea typeface="+mn-ea"/>
              <a:cs typeface="+mn-cs"/>
            </a:rPr>
            <a:t>2019–2020</a:t>
          </a:r>
          <a:r>
            <a:rPr lang="en-IN" sz="1100">
              <a:solidFill>
                <a:schemeClr val="dk1"/>
              </a:solidFill>
              <a:effectLst/>
              <a:latin typeface="+mn-lt"/>
              <a:ea typeface="+mn-ea"/>
              <a:cs typeface="+mn-cs"/>
            </a:rPr>
            <a:t> at </a:t>
          </a:r>
          <a:r>
            <a:rPr lang="en-IN" sz="1100" b="1">
              <a:solidFill>
                <a:schemeClr val="dk1"/>
              </a:solidFill>
              <a:effectLst/>
              <a:latin typeface="+mn-lt"/>
              <a:ea typeface="+mn-ea"/>
              <a:cs typeface="+mn-cs"/>
            </a:rPr>
            <a:t>9.0%</a:t>
          </a:r>
          <a:r>
            <a:rPr lang="en-IN" sz="1100">
              <a:solidFill>
                <a:schemeClr val="dk1"/>
              </a:solidFill>
              <a:effectLst/>
              <a:latin typeface="+mn-lt"/>
              <a:ea typeface="+mn-ea"/>
              <a:cs typeface="+mn-cs"/>
            </a:rPr>
            <a:t>.</a:t>
          </a:r>
          <a:endParaRPr lang="en-IN">
            <a:effectLst/>
          </a:endParaRPr>
        </a:p>
        <a:p>
          <a:r>
            <a:rPr lang="en-IN" sz="1100">
              <a:solidFill>
                <a:schemeClr val="dk1"/>
              </a:solidFill>
              <a:effectLst/>
              <a:latin typeface="+mn-lt"/>
              <a:ea typeface="+mn-ea"/>
              <a:cs typeface="+mn-cs"/>
            </a:rPr>
            <a:t>&gt;</a:t>
          </a:r>
          <a:r>
            <a:rPr lang="en-IN" sz="1100" b="1">
              <a:solidFill>
                <a:schemeClr val="dk1"/>
              </a:solidFill>
              <a:effectLst/>
              <a:latin typeface="+mn-lt"/>
              <a:ea typeface="+mn-ea"/>
              <a:cs typeface="+mn-cs"/>
            </a:rPr>
            <a:t>Essentials</a:t>
          </a:r>
          <a:r>
            <a:rPr lang="en-IN" sz="1100">
              <a:solidFill>
                <a:schemeClr val="dk1"/>
              </a:solidFill>
              <a:effectLst/>
              <a:latin typeface="+mn-lt"/>
              <a:ea typeface="+mn-ea"/>
              <a:cs typeface="+mn-cs"/>
            </a:rPr>
            <a:t> saw moderate inflation at </a:t>
          </a:r>
          <a:r>
            <a:rPr lang="en-IN" sz="1100" b="1">
              <a:solidFill>
                <a:schemeClr val="dk1"/>
              </a:solidFill>
              <a:effectLst/>
              <a:latin typeface="+mn-lt"/>
              <a:ea typeface="+mn-ea"/>
              <a:cs typeface="+mn-cs"/>
            </a:rPr>
            <a:t>2.8%</a:t>
          </a:r>
          <a:r>
            <a:rPr lang="en-IN" sz="1100">
              <a:solidFill>
                <a:schemeClr val="dk1"/>
              </a:solidFill>
              <a:effectLst/>
              <a:latin typeface="+mn-lt"/>
              <a:ea typeface="+mn-ea"/>
              <a:cs typeface="+mn-cs"/>
            </a:rPr>
            <a:t> in </a:t>
          </a:r>
          <a:r>
            <a:rPr lang="en-IN" sz="1100" b="1">
              <a:solidFill>
                <a:schemeClr val="dk1"/>
              </a:solidFill>
              <a:effectLst/>
              <a:latin typeface="+mn-lt"/>
              <a:ea typeface="+mn-ea"/>
              <a:cs typeface="+mn-cs"/>
            </a:rPr>
            <a:t>2018–2019</a:t>
          </a:r>
          <a:r>
            <a:rPr lang="en-IN" sz="1100">
              <a:solidFill>
                <a:schemeClr val="dk1"/>
              </a:solidFill>
              <a:effectLst/>
              <a:latin typeface="+mn-lt"/>
              <a:ea typeface="+mn-ea"/>
              <a:cs typeface="+mn-cs"/>
            </a:rPr>
            <a:t>, which further increased to </a:t>
          </a:r>
          <a:r>
            <a:rPr lang="en-IN" sz="1100" b="1">
              <a:solidFill>
                <a:schemeClr val="dk1"/>
              </a:solidFill>
              <a:effectLst/>
              <a:latin typeface="+mn-lt"/>
              <a:ea typeface="+mn-ea"/>
              <a:cs typeface="+mn-cs"/>
            </a:rPr>
            <a:t>5.8%</a:t>
          </a:r>
          <a:r>
            <a:rPr lang="en-IN" sz="1100">
              <a:solidFill>
                <a:schemeClr val="dk1"/>
              </a:solidFill>
              <a:effectLst/>
              <a:latin typeface="+mn-lt"/>
              <a:ea typeface="+mn-ea"/>
              <a:cs typeface="+mn-cs"/>
            </a:rPr>
            <a:t> in </a:t>
          </a:r>
          <a:r>
            <a:rPr lang="en-IN" sz="1100" b="1">
              <a:solidFill>
                <a:schemeClr val="dk1"/>
              </a:solidFill>
              <a:effectLst/>
              <a:latin typeface="+mn-lt"/>
              <a:ea typeface="+mn-ea"/>
              <a:cs typeface="+mn-cs"/>
            </a:rPr>
            <a:t>2019–2020</a:t>
          </a:r>
          <a:endParaRPr lang="en-IN" b="1">
            <a:effectLst/>
          </a:endParaRPr>
        </a:p>
        <a:p>
          <a:endParaRPr lang="en-IN" sz="1100"/>
        </a:p>
      </xdr:txBody>
    </xdr:sp>
    <xdr:clientData/>
  </xdr:twoCellAnchor>
  <xdr:twoCellAnchor>
    <xdr:from>
      <xdr:col>10</xdr:col>
      <xdr:colOff>0</xdr:colOff>
      <xdr:row>67</xdr:row>
      <xdr:rowOff>10297</xdr:rowOff>
    </xdr:from>
    <xdr:to>
      <xdr:col>17</xdr:col>
      <xdr:colOff>453081</xdr:colOff>
      <xdr:row>71</xdr:row>
      <xdr:rowOff>133865</xdr:rowOff>
    </xdr:to>
    <xdr:sp macro="" textlink="">
      <xdr:nvSpPr>
        <xdr:cNvPr id="7" name="TextBox 6">
          <a:extLst>
            <a:ext uri="{FF2B5EF4-FFF2-40B4-BE49-F238E27FC236}">
              <a16:creationId xmlns:a16="http://schemas.microsoft.com/office/drawing/2014/main" id="{D0F7357F-86D9-79EC-FCD1-8C025AAB93FD}"/>
            </a:ext>
          </a:extLst>
        </xdr:cNvPr>
        <xdr:cNvSpPr txBox="1"/>
      </xdr:nvSpPr>
      <xdr:spPr>
        <a:xfrm>
          <a:off x="9411730" y="12954000"/>
          <a:ext cx="4705865" cy="864973"/>
        </a:xfrm>
        <a:prstGeom prst="rect">
          <a:avLst/>
        </a:prstGeom>
        <a:solidFill>
          <a:schemeClr val="accent1">
            <a:lumMod val="20000"/>
            <a:lumOff val="80000"/>
          </a:schemeClr>
        </a:solidFill>
        <a:ln w="9525" cmpd="sng">
          <a:solidFill>
            <a:srgbClr val="88082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mn-lt"/>
              <a:ea typeface="+mn-ea"/>
              <a:cs typeface="+mn-cs"/>
            </a:rPr>
            <a:t> &gt;While </a:t>
          </a:r>
          <a:r>
            <a:rPr lang="en-IN" sz="1200" b="1">
              <a:solidFill>
                <a:schemeClr val="dk1"/>
              </a:solidFill>
              <a:effectLst/>
              <a:latin typeface="+mn-lt"/>
              <a:ea typeface="+mn-ea"/>
              <a:cs typeface="+mn-cs"/>
            </a:rPr>
            <a:t>health</a:t>
          </a:r>
          <a:r>
            <a:rPr lang="en-IN" sz="1200">
              <a:solidFill>
                <a:schemeClr val="dk1"/>
              </a:solidFill>
              <a:effectLst/>
              <a:latin typeface="+mn-lt"/>
              <a:ea typeface="+mn-ea"/>
              <a:cs typeface="+mn-cs"/>
            </a:rPr>
            <a:t> had the highest inflation in </a:t>
          </a:r>
          <a:r>
            <a:rPr lang="en-IN" sz="1200" b="1">
              <a:solidFill>
                <a:schemeClr val="dk1"/>
              </a:solidFill>
              <a:effectLst/>
              <a:latin typeface="+mn-lt"/>
              <a:ea typeface="+mn-ea"/>
              <a:cs typeface="+mn-cs"/>
            </a:rPr>
            <a:t>2018–2019</a:t>
          </a:r>
          <a:r>
            <a:rPr lang="en-IN" sz="1200">
              <a:solidFill>
                <a:schemeClr val="dk1"/>
              </a:solidFill>
              <a:effectLst/>
              <a:latin typeface="+mn-lt"/>
              <a:ea typeface="+mn-ea"/>
              <a:cs typeface="+mn-cs"/>
            </a:rPr>
            <a:t> at </a:t>
          </a:r>
          <a:r>
            <a:rPr lang="en-IN" sz="1200" b="1">
              <a:solidFill>
                <a:schemeClr val="dk1"/>
              </a:solidFill>
              <a:effectLst/>
              <a:latin typeface="+mn-lt"/>
              <a:ea typeface="+mn-ea"/>
              <a:cs typeface="+mn-cs"/>
            </a:rPr>
            <a:t>6.1%</a:t>
          </a:r>
          <a:r>
            <a:rPr lang="en-IN" sz="1200">
              <a:solidFill>
                <a:schemeClr val="dk1"/>
              </a:solidFill>
              <a:effectLst/>
              <a:latin typeface="+mn-lt"/>
              <a:ea typeface="+mn-ea"/>
              <a:cs typeface="+mn-cs"/>
            </a:rPr>
            <a:t>, it was</a:t>
          </a:r>
          <a:r>
            <a:rPr lang="en-IN" sz="1200" baseline="0">
              <a:solidFill>
                <a:schemeClr val="dk1"/>
              </a:solidFill>
              <a:effectLst/>
              <a:latin typeface="+mn-lt"/>
              <a:ea typeface="+mn-ea"/>
              <a:cs typeface="+mn-cs"/>
            </a:rPr>
            <a:t> the lowest at</a:t>
          </a:r>
          <a:r>
            <a:rPr lang="en-IN" sz="1200">
              <a:solidFill>
                <a:schemeClr val="dk1"/>
              </a:solidFill>
              <a:effectLst/>
              <a:latin typeface="+mn-lt"/>
              <a:ea typeface="+mn-ea"/>
              <a:cs typeface="+mn-cs"/>
            </a:rPr>
            <a:t> </a:t>
          </a:r>
          <a:r>
            <a:rPr lang="en-IN" sz="1200" b="1">
              <a:solidFill>
                <a:schemeClr val="dk1"/>
              </a:solidFill>
              <a:effectLst/>
              <a:latin typeface="+mn-lt"/>
              <a:ea typeface="+mn-ea"/>
              <a:cs typeface="+mn-cs"/>
            </a:rPr>
            <a:t>3.7% </a:t>
          </a:r>
          <a:r>
            <a:rPr lang="en-IN" sz="1200">
              <a:solidFill>
                <a:schemeClr val="dk1"/>
              </a:solidFill>
              <a:effectLst/>
              <a:latin typeface="+mn-lt"/>
              <a:ea typeface="+mn-ea"/>
              <a:cs typeface="+mn-cs"/>
            </a:rPr>
            <a:t>in </a:t>
          </a:r>
          <a:r>
            <a:rPr lang="en-IN" sz="1200" b="1">
              <a:solidFill>
                <a:schemeClr val="dk1"/>
              </a:solidFill>
              <a:effectLst/>
              <a:latin typeface="+mn-lt"/>
              <a:ea typeface="+mn-ea"/>
              <a:cs typeface="+mn-cs"/>
            </a:rPr>
            <a:t>2019–2020</a:t>
          </a:r>
          <a:r>
            <a:rPr lang="en-IN" sz="1200">
              <a:solidFill>
                <a:schemeClr val="dk1"/>
              </a:solidFill>
              <a:effectLst/>
              <a:latin typeface="+mn-lt"/>
              <a:ea typeface="+mn-ea"/>
              <a:cs typeface="+mn-cs"/>
            </a:rPr>
            <a:t>.</a:t>
          </a:r>
          <a:endParaRPr lang="en-IN" sz="1200">
            <a:effectLst/>
          </a:endParaRPr>
        </a:p>
        <a:p>
          <a:r>
            <a:rPr lang="en-IN" sz="1200">
              <a:solidFill>
                <a:schemeClr val="dk1"/>
              </a:solidFill>
              <a:effectLst/>
              <a:latin typeface="+mn-lt"/>
              <a:ea typeface="+mn-ea"/>
              <a:cs typeface="+mn-cs"/>
            </a:rPr>
            <a:t>&gt;</a:t>
          </a:r>
          <a:r>
            <a:rPr lang="en-IN" sz="1200" b="1">
              <a:solidFill>
                <a:schemeClr val="dk1"/>
              </a:solidFill>
              <a:effectLst/>
              <a:latin typeface="+mn-lt"/>
              <a:ea typeface="+mn-ea"/>
              <a:cs typeface="+mn-cs"/>
            </a:rPr>
            <a:t>Food</a:t>
          </a:r>
          <a:r>
            <a:rPr lang="en-IN" sz="1200">
              <a:solidFill>
                <a:schemeClr val="dk1"/>
              </a:solidFill>
              <a:effectLst/>
              <a:latin typeface="+mn-lt"/>
              <a:ea typeface="+mn-ea"/>
              <a:cs typeface="+mn-cs"/>
            </a:rPr>
            <a:t> and </a:t>
          </a:r>
          <a:r>
            <a:rPr lang="en-IN" sz="1200" b="1">
              <a:solidFill>
                <a:schemeClr val="dk1"/>
              </a:solidFill>
              <a:effectLst/>
              <a:latin typeface="+mn-lt"/>
              <a:ea typeface="+mn-ea"/>
              <a:cs typeface="+mn-cs"/>
            </a:rPr>
            <a:t>Essential</a:t>
          </a:r>
          <a:r>
            <a:rPr lang="en-IN" sz="1200" baseline="0">
              <a:solidFill>
                <a:schemeClr val="dk1"/>
              </a:solidFill>
              <a:effectLst/>
              <a:latin typeface="+mn-lt"/>
              <a:ea typeface="+mn-ea"/>
              <a:cs typeface="+mn-cs"/>
            </a:rPr>
            <a:t> showed an equal inflation at </a:t>
          </a:r>
          <a:r>
            <a:rPr lang="en-IN" sz="1200" b="1" baseline="0">
              <a:solidFill>
                <a:schemeClr val="dk1"/>
              </a:solidFill>
              <a:effectLst/>
              <a:latin typeface="+mn-lt"/>
              <a:ea typeface="+mn-ea"/>
              <a:cs typeface="+mn-cs"/>
            </a:rPr>
            <a:t>2.3% </a:t>
          </a:r>
          <a:r>
            <a:rPr lang="en-IN" sz="1200" baseline="0">
              <a:solidFill>
                <a:schemeClr val="dk1"/>
              </a:solidFill>
              <a:effectLst/>
              <a:latin typeface="+mn-lt"/>
              <a:ea typeface="+mn-ea"/>
              <a:cs typeface="+mn-cs"/>
            </a:rPr>
            <a:t>in </a:t>
          </a:r>
          <a:r>
            <a:rPr lang="en-IN" sz="1200" b="1" baseline="0">
              <a:solidFill>
                <a:schemeClr val="dk1"/>
              </a:solidFill>
              <a:effectLst/>
              <a:latin typeface="+mn-lt"/>
              <a:ea typeface="+mn-ea"/>
              <a:cs typeface="+mn-cs"/>
            </a:rPr>
            <a:t>2018-2019</a:t>
          </a:r>
          <a:r>
            <a:rPr lang="en-IN" sz="1200" baseline="0">
              <a:solidFill>
                <a:schemeClr val="dk1"/>
              </a:solidFill>
              <a:effectLst/>
              <a:latin typeface="+mn-lt"/>
              <a:ea typeface="+mn-ea"/>
              <a:cs typeface="+mn-cs"/>
            </a:rPr>
            <a:t> and increased to </a:t>
          </a:r>
          <a:r>
            <a:rPr lang="en-IN" sz="1200" b="1" baseline="0">
              <a:solidFill>
                <a:schemeClr val="dk1"/>
              </a:solidFill>
              <a:effectLst/>
              <a:latin typeface="+mn-lt"/>
              <a:ea typeface="+mn-ea"/>
              <a:cs typeface="+mn-cs"/>
            </a:rPr>
            <a:t>8.9% </a:t>
          </a:r>
          <a:r>
            <a:rPr lang="en-IN" sz="1200" baseline="0">
              <a:solidFill>
                <a:schemeClr val="dk1"/>
              </a:solidFill>
              <a:effectLst/>
              <a:latin typeface="+mn-lt"/>
              <a:ea typeface="+mn-ea"/>
              <a:cs typeface="+mn-cs"/>
            </a:rPr>
            <a:t>and </a:t>
          </a:r>
          <a:r>
            <a:rPr lang="en-IN" sz="1200" b="1" baseline="0">
              <a:solidFill>
                <a:schemeClr val="dk1"/>
              </a:solidFill>
              <a:effectLst/>
              <a:latin typeface="+mn-lt"/>
              <a:ea typeface="+mn-ea"/>
              <a:cs typeface="+mn-cs"/>
            </a:rPr>
            <a:t>6.9% </a:t>
          </a:r>
          <a:r>
            <a:rPr lang="en-IN" sz="1200" baseline="0">
              <a:solidFill>
                <a:schemeClr val="dk1"/>
              </a:solidFill>
              <a:effectLst/>
              <a:latin typeface="+mn-lt"/>
              <a:ea typeface="+mn-ea"/>
              <a:cs typeface="+mn-cs"/>
            </a:rPr>
            <a:t>respectively in </a:t>
          </a:r>
          <a:r>
            <a:rPr lang="en-IN" sz="1200" b="1" baseline="0">
              <a:solidFill>
                <a:schemeClr val="dk1"/>
              </a:solidFill>
              <a:effectLst/>
              <a:latin typeface="+mn-lt"/>
              <a:ea typeface="+mn-ea"/>
              <a:cs typeface="+mn-cs"/>
            </a:rPr>
            <a:t>2019-2020</a:t>
          </a:r>
          <a:r>
            <a:rPr lang="en-IN" sz="1200" baseline="0">
              <a:solidFill>
                <a:schemeClr val="dk1"/>
              </a:solidFill>
              <a:effectLst/>
              <a:latin typeface="+mn-lt"/>
              <a:ea typeface="+mn-ea"/>
              <a:cs typeface="+mn-cs"/>
            </a:rPr>
            <a:t>.</a:t>
          </a:r>
          <a:r>
            <a:rPr lang="en-IN" sz="1200">
              <a:solidFill>
                <a:schemeClr val="dk1"/>
              </a:solidFill>
              <a:effectLst/>
              <a:latin typeface="+mn-lt"/>
              <a:ea typeface="+mn-ea"/>
              <a:cs typeface="+mn-cs"/>
            </a:rPr>
            <a:t> </a:t>
          </a:r>
          <a:endParaRPr lang="en-IN" sz="1200">
            <a:effectLst/>
          </a:endParaRPr>
        </a:p>
        <a:p>
          <a:endParaRPr lang="en-IN" sz="1100"/>
        </a:p>
      </xdr:txBody>
    </xdr:sp>
    <xdr:clientData/>
  </xdr:twoCellAnchor>
  <xdr:twoCellAnchor>
    <xdr:from>
      <xdr:col>0</xdr:col>
      <xdr:colOff>68494</xdr:colOff>
      <xdr:row>0</xdr:row>
      <xdr:rowOff>25685</xdr:rowOff>
    </xdr:from>
    <xdr:to>
      <xdr:col>16</xdr:col>
      <xdr:colOff>599325</xdr:colOff>
      <xdr:row>5</xdr:row>
      <xdr:rowOff>25685</xdr:rowOff>
    </xdr:to>
    <xdr:sp macro="" textlink="">
      <xdr:nvSpPr>
        <xdr:cNvPr id="8" name="TextBox 7">
          <a:extLst>
            <a:ext uri="{FF2B5EF4-FFF2-40B4-BE49-F238E27FC236}">
              <a16:creationId xmlns:a16="http://schemas.microsoft.com/office/drawing/2014/main" id="{55B55C66-1963-C427-3B4B-501B99281352}"/>
            </a:ext>
          </a:extLst>
        </xdr:cNvPr>
        <xdr:cNvSpPr txBox="1"/>
      </xdr:nvSpPr>
      <xdr:spPr>
        <a:xfrm>
          <a:off x="68494" y="25685"/>
          <a:ext cx="13587573" cy="898989"/>
        </a:xfrm>
        <a:prstGeom prst="rect">
          <a:avLst/>
        </a:prstGeom>
        <a:solidFill>
          <a:schemeClr val="accent2">
            <a:lumMod val="50000"/>
          </a:schemeClr>
        </a:solidFill>
        <a:ln w="76200"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4. Investigate how the onset and progression of the COVID-19 pandemic affected inflation rates in India. Analyze the impact of key pandemic milestone (first lockdown) on the CPI inflation </a:t>
          </a:r>
          <a:r>
            <a:rPr lang="en-IN" sz="1400" b="1" u="sng">
              <a:solidFill>
                <a:schemeClr val="bg1"/>
              </a:solidFill>
            </a:rPr>
            <a:t>%, specially focus on categories like healthcare, food, and essential services.</a:t>
          </a:r>
          <a:endParaRPr lang="en-IN" sz="1400" u="sng">
            <a:solidFill>
              <a:schemeClr val="bg1"/>
            </a:solidFill>
          </a:endParaRPr>
        </a:p>
        <a:p>
          <a:r>
            <a:rPr lang="en-IN" sz="1400" b="1">
              <a:solidFill>
                <a:schemeClr val="bg1"/>
              </a:solidFill>
            </a:rPr>
            <a:t>Hint:</a:t>
          </a:r>
          <a:r>
            <a:rPr lang="en-IN" sz="1400">
              <a:solidFill>
                <a:schemeClr val="bg1"/>
              </a:solidFill>
            </a:rPr>
            <a:t> You can consider Mar'20 as the onset of covid, and can compare the inflation trend before and after Mar'20 to see if there is a change in inflation % before and after.</a:t>
          </a:r>
        </a:p>
        <a:p>
          <a:endParaRPr lang="en-IN" sz="1400" kern="1200">
            <a:solidFill>
              <a:schemeClr val="bg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144780</xdr:colOff>
      <xdr:row>0</xdr:row>
      <xdr:rowOff>0</xdr:rowOff>
    </xdr:from>
    <xdr:to>
      <xdr:col>16</xdr:col>
      <xdr:colOff>83820</xdr:colOff>
      <xdr:row>12</xdr:row>
      <xdr:rowOff>15240</xdr:rowOff>
    </xdr:to>
    <xdr:graphicFrame macro="">
      <xdr:nvGraphicFramePr>
        <xdr:cNvPr id="2" name="Chart 1">
          <a:extLst>
            <a:ext uri="{FF2B5EF4-FFF2-40B4-BE49-F238E27FC236}">
              <a16:creationId xmlns:a16="http://schemas.microsoft.com/office/drawing/2014/main" id="{E74916B1-748B-9C1D-1EDD-CAC75FCB56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121920</xdr:colOff>
      <xdr:row>23</xdr:row>
      <xdr:rowOff>3810</xdr:rowOff>
    </xdr:from>
    <xdr:to>
      <xdr:col>16</xdr:col>
      <xdr:colOff>274320</xdr:colOff>
      <xdr:row>34</xdr:row>
      <xdr:rowOff>0</xdr:rowOff>
    </xdr:to>
    <xdr:graphicFrame macro="">
      <xdr:nvGraphicFramePr>
        <xdr:cNvPr id="3" name="Chart 2">
          <a:extLst>
            <a:ext uri="{FF2B5EF4-FFF2-40B4-BE49-F238E27FC236}">
              <a16:creationId xmlns:a16="http://schemas.microsoft.com/office/drawing/2014/main" id="{9CABCD54-B1F2-8C91-6B66-696DAF1EA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173355</xdr:colOff>
      <xdr:row>46</xdr:row>
      <xdr:rowOff>163831</xdr:rowOff>
    </xdr:from>
    <xdr:to>
      <xdr:col>16</xdr:col>
      <xdr:colOff>478155</xdr:colOff>
      <xdr:row>58</xdr:row>
      <xdr:rowOff>71438</xdr:rowOff>
    </xdr:to>
    <xdr:graphicFrame macro="">
      <xdr:nvGraphicFramePr>
        <xdr:cNvPr id="4" name="Chart 3">
          <a:extLst>
            <a:ext uri="{FF2B5EF4-FFF2-40B4-BE49-F238E27FC236}">
              <a16:creationId xmlns:a16="http://schemas.microsoft.com/office/drawing/2014/main" id="{F2F71C7F-D4D0-B627-DF4B-90F382422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598714</xdr:colOff>
      <xdr:row>13</xdr:row>
      <xdr:rowOff>178837</xdr:rowOff>
    </xdr:from>
    <xdr:to>
      <xdr:col>16</xdr:col>
      <xdr:colOff>46653</xdr:colOff>
      <xdr:row>21</xdr:row>
      <xdr:rowOff>0</xdr:rowOff>
    </xdr:to>
    <xdr:sp macro="" textlink="">
      <xdr:nvSpPr>
        <xdr:cNvPr id="5" name="TextBox 4">
          <a:extLst>
            <a:ext uri="{FF2B5EF4-FFF2-40B4-BE49-F238E27FC236}">
              <a16:creationId xmlns:a16="http://schemas.microsoft.com/office/drawing/2014/main" id="{8DBB4717-5B7C-9619-A328-DF6A909B58B0}"/>
            </a:ext>
          </a:extLst>
        </xdr:cNvPr>
        <xdr:cNvSpPr txBox="1"/>
      </xdr:nvSpPr>
      <xdr:spPr>
        <a:xfrm>
          <a:off x="8708571" y="2970245"/>
          <a:ext cx="3693368" cy="1314061"/>
        </a:xfrm>
        <a:prstGeom prst="rect">
          <a:avLst/>
        </a:prstGeom>
        <a:solidFill>
          <a:schemeClr val="accent1">
            <a:lumMod val="20000"/>
            <a:lumOff val="80000"/>
          </a:schemeClr>
        </a:solidFill>
        <a:ln w="9525" cmpd="sng">
          <a:solidFill>
            <a:srgbClr val="88082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&gt;</a:t>
          </a:r>
          <a:r>
            <a:rPr lang="en-IN" sz="1100" b="1"/>
            <a:t>Health</a:t>
          </a:r>
          <a:r>
            <a:rPr lang="en-IN" sz="1100" baseline="0"/>
            <a:t> recorded an inflation  from </a:t>
          </a:r>
          <a:r>
            <a:rPr lang="en-IN" sz="1100" b="1" baseline="0"/>
            <a:t>4.9% </a:t>
          </a:r>
          <a:r>
            <a:rPr lang="en-IN" sz="1100" baseline="0"/>
            <a:t>in </a:t>
          </a:r>
          <a:r>
            <a:rPr lang="en-IN" sz="1100" b="1" baseline="0"/>
            <a:t>2020-2021</a:t>
          </a:r>
          <a:r>
            <a:rPr lang="en-IN" sz="1100" baseline="0"/>
            <a:t> to </a:t>
          </a:r>
          <a:r>
            <a:rPr lang="en-IN" sz="1100" b="1" baseline="0"/>
            <a:t>6.5%</a:t>
          </a:r>
          <a:r>
            <a:rPr lang="en-IN" sz="1100" baseline="0"/>
            <a:t> in </a:t>
          </a:r>
          <a:r>
            <a:rPr lang="en-IN" sz="1100" b="1" baseline="0"/>
            <a:t>2021-2022</a:t>
          </a:r>
        </a:p>
        <a:p>
          <a:r>
            <a:rPr lang="en-IN" sz="1100" baseline="0"/>
            <a:t>&gt;</a:t>
          </a:r>
          <a:r>
            <a:rPr lang="en-IN" sz="1100" b="1" baseline="0"/>
            <a:t>Food</a:t>
          </a:r>
          <a:r>
            <a:rPr lang="en-IN" sz="1100" baseline="0"/>
            <a:t> had the highest Inflation at </a:t>
          </a:r>
          <a:r>
            <a:rPr lang="en-IN" sz="1100" b="1" baseline="0"/>
            <a:t>6.3% </a:t>
          </a:r>
          <a:r>
            <a:rPr lang="en-IN" sz="1100" baseline="0"/>
            <a:t>in  </a:t>
          </a:r>
          <a:r>
            <a:rPr lang="en-IN" sz="1100" b="1" baseline="0"/>
            <a:t>2020-2021,</a:t>
          </a:r>
          <a:r>
            <a:rPr lang="en-IN" sz="1100" baseline="0"/>
            <a:t> it was the lowest at </a:t>
          </a:r>
          <a:r>
            <a:rPr lang="en-IN" sz="1100" b="1" baseline="0"/>
            <a:t>6.2%</a:t>
          </a:r>
          <a:r>
            <a:rPr lang="en-IN" sz="1100" baseline="0"/>
            <a:t> in </a:t>
          </a:r>
          <a:r>
            <a:rPr lang="en-IN" sz="1100" b="1" baseline="0"/>
            <a:t>2021-2022</a:t>
          </a:r>
        </a:p>
        <a:p>
          <a:r>
            <a:rPr lang="en-IN" sz="1100" baseline="0"/>
            <a:t>&gt;</a:t>
          </a:r>
          <a:r>
            <a:rPr lang="en-IN" sz="1100" b="1" baseline="0"/>
            <a:t>Essential</a:t>
          </a:r>
          <a:r>
            <a:rPr lang="en-IN" sz="1100" baseline="0"/>
            <a:t> increased from </a:t>
          </a:r>
          <a:r>
            <a:rPr lang="en-IN" sz="1100" b="1" baseline="0"/>
            <a:t>5.9% </a:t>
          </a:r>
          <a:r>
            <a:rPr lang="en-IN" sz="1100" baseline="0"/>
            <a:t>in </a:t>
          </a:r>
          <a:r>
            <a:rPr lang="en-IN" sz="1100" b="1" baseline="0"/>
            <a:t>2020-2021</a:t>
          </a:r>
          <a:r>
            <a:rPr lang="en-IN" sz="1100" baseline="0"/>
            <a:t> to </a:t>
          </a:r>
          <a:r>
            <a:rPr lang="en-IN" sz="1100" b="1" baseline="0"/>
            <a:t>7.1%</a:t>
          </a:r>
          <a:r>
            <a:rPr lang="en-IN" sz="1100" baseline="0"/>
            <a:t> in </a:t>
          </a:r>
          <a:r>
            <a:rPr lang="en-IN" sz="1100" b="1" baseline="0"/>
            <a:t>2021-2022</a:t>
          </a:r>
          <a:r>
            <a:rPr lang="en-IN" sz="1100" baseline="0"/>
            <a:t>, making it the highest inflated category</a:t>
          </a:r>
        </a:p>
        <a:p>
          <a:endParaRPr lang="en-IN" sz="1100"/>
        </a:p>
      </xdr:txBody>
    </xdr:sp>
    <xdr:clientData/>
  </xdr:twoCellAnchor>
  <xdr:twoCellAnchor>
    <xdr:from>
      <xdr:col>10</xdr:col>
      <xdr:colOff>23326</xdr:colOff>
      <xdr:row>35</xdr:row>
      <xdr:rowOff>54428</xdr:rowOff>
    </xdr:from>
    <xdr:to>
      <xdr:col>16</xdr:col>
      <xdr:colOff>233265</xdr:colOff>
      <xdr:row>42</xdr:row>
      <xdr:rowOff>31750</xdr:rowOff>
    </xdr:to>
    <xdr:sp macro="" textlink="">
      <xdr:nvSpPr>
        <xdr:cNvPr id="6" name="TextBox 5">
          <a:extLst>
            <a:ext uri="{FF2B5EF4-FFF2-40B4-BE49-F238E27FC236}">
              <a16:creationId xmlns:a16="http://schemas.microsoft.com/office/drawing/2014/main" id="{453F92B4-4F87-781D-1C80-E294E45B40F4}"/>
            </a:ext>
          </a:extLst>
        </xdr:cNvPr>
        <xdr:cNvSpPr txBox="1"/>
      </xdr:nvSpPr>
      <xdr:spPr>
        <a:xfrm>
          <a:off x="8722826" y="7092345"/>
          <a:ext cx="3892939" cy="1236738"/>
        </a:xfrm>
        <a:prstGeom prst="rect">
          <a:avLst/>
        </a:prstGeom>
        <a:solidFill>
          <a:schemeClr val="accent1">
            <a:lumMod val="20000"/>
            <a:lumOff val="80000"/>
          </a:schemeClr>
        </a:solidFill>
        <a:ln w="9525" cmpd="sng">
          <a:solidFill>
            <a:srgbClr val="88082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Health</a:t>
          </a:r>
          <a:r>
            <a:rPr lang="en-IN"/>
            <a:t> inflation increased from </a:t>
          </a:r>
          <a:r>
            <a:rPr lang="en-IN" b="1"/>
            <a:t>5.9% in 2020–2021</a:t>
          </a:r>
          <a:r>
            <a:rPr lang="en-IN"/>
            <a:t> to </a:t>
          </a:r>
          <a:r>
            <a:rPr lang="en-IN" b="1"/>
            <a:t>6.5% in 2021–2022</a:t>
          </a:r>
          <a:r>
            <a:rPr lang="en-IN"/>
            <a:t>.</a:t>
          </a:r>
        </a:p>
        <a:p>
          <a:r>
            <a:rPr lang="en-IN" b="1"/>
            <a:t>Food</a:t>
          </a:r>
          <a:r>
            <a:rPr lang="en-IN"/>
            <a:t> inflation declined from </a:t>
          </a:r>
          <a:r>
            <a:rPr lang="en-IN" b="1"/>
            <a:t>7.1%</a:t>
          </a:r>
          <a:r>
            <a:rPr lang="en-IN"/>
            <a:t>  </a:t>
          </a:r>
          <a:r>
            <a:rPr lang="en-IN" sz="1100" b="1">
              <a:solidFill>
                <a:schemeClr val="dk1"/>
              </a:solidFill>
              <a:effectLst/>
              <a:latin typeface="+mn-lt"/>
              <a:ea typeface="+mn-ea"/>
              <a:cs typeface="+mn-cs"/>
            </a:rPr>
            <a:t>in 2020–2021</a:t>
          </a:r>
          <a:r>
            <a:rPr lang="en-IN" sz="1100">
              <a:solidFill>
                <a:schemeClr val="dk1"/>
              </a:solidFill>
              <a:effectLst/>
              <a:latin typeface="+mn-lt"/>
              <a:ea typeface="+mn-ea"/>
              <a:cs typeface="+mn-cs"/>
            </a:rPr>
            <a:t> </a:t>
          </a:r>
          <a:r>
            <a:rPr lang="en-IN"/>
            <a:t>to </a:t>
          </a:r>
          <a:r>
            <a:rPr lang="en-IN" b="1"/>
            <a:t>6.0%</a:t>
          </a:r>
          <a:r>
            <a:rPr lang="en-IN"/>
            <a:t> </a:t>
          </a:r>
          <a:r>
            <a:rPr lang="en-IN" sz="1100" b="1">
              <a:solidFill>
                <a:schemeClr val="dk1"/>
              </a:solidFill>
              <a:effectLst/>
              <a:latin typeface="+mn-lt"/>
              <a:ea typeface="+mn-ea"/>
              <a:cs typeface="+mn-cs"/>
            </a:rPr>
            <a:t>in 2021–2022</a:t>
          </a:r>
          <a:r>
            <a:rPr lang="en-IN" sz="1100">
              <a:solidFill>
                <a:schemeClr val="dk1"/>
              </a:solidFill>
              <a:effectLst/>
              <a:latin typeface="+mn-lt"/>
              <a:ea typeface="+mn-ea"/>
              <a:cs typeface="+mn-cs"/>
            </a:rPr>
            <a:t>.</a:t>
          </a:r>
          <a:endParaRPr lang="en-IN"/>
        </a:p>
        <a:p>
          <a:r>
            <a:rPr lang="en-IN" b="1"/>
            <a:t>Essentials</a:t>
          </a:r>
          <a:r>
            <a:rPr lang="en-IN"/>
            <a:t> remained </a:t>
          </a:r>
          <a:r>
            <a:rPr lang="en-IN" b="1"/>
            <a:t>unchanged at 6.9%</a:t>
          </a:r>
          <a:r>
            <a:rPr lang="en-IN"/>
            <a:t>, indicating a </a:t>
          </a:r>
          <a:r>
            <a:rPr lang="en-IN" b="1"/>
            <a:t>stagnant trend</a:t>
          </a:r>
          <a:r>
            <a:rPr lang="en-IN"/>
            <a:t>.</a:t>
          </a:r>
        </a:p>
      </xdr:txBody>
    </xdr:sp>
    <xdr:clientData/>
  </xdr:twoCellAnchor>
  <xdr:twoCellAnchor>
    <xdr:from>
      <xdr:col>10</xdr:col>
      <xdr:colOff>31102</xdr:colOff>
      <xdr:row>59</xdr:row>
      <xdr:rowOff>178837</xdr:rowOff>
    </xdr:from>
    <xdr:to>
      <xdr:col>16</xdr:col>
      <xdr:colOff>583163</xdr:colOff>
      <xdr:row>66</xdr:row>
      <xdr:rowOff>38878</xdr:rowOff>
    </xdr:to>
    <xdr:sp macro="" textlink="">
      <xdr:nvSpPr>
        <xdr:cNvPr id="7" name="TextBox 6">
          <a:extLst>
            <a:ext uri="{FF2B5EF4-FFF2-40B4-BE49-F238E27FC236}">
              <a16:creationId xmlns:a16="http://schemas.microsoft.com/office/drawing/2014/main" id="{304BD367-7367-0BA4-024A-C770714E8679}"/>
            </a:ext>
          </a:extLst>
        </xdr:cNvPr>
        <xdr:cNvSpPr txBox="1"/>
      </xdr:nvSpPr>
      <xdr:spPr>
        <a:xfrm>
          <a:off x="8747449" y="12285306"/>
          <a:ext cx="4191000" cy="1166327"/>
        </a:xfrm>
        <a:prstGeom prst="rect">
          <a:avLst/>
        </a:prstGeom>
        <a:solidFill>
          <a:schemeClr val="accent1">
            <a:lumMod val="20000"/>
            <a:lumOff val="80000"/>
          </a:schemeClr>
        </a:solidFill>
        <a:ln w="9525" cmpd="sng">
          <a:solidFill>
            <a:srgbClr val="88082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effectLst/>
              <a:latin typeface="+mn-lt"/>
              <a:ea typeface="+mn-ea"/>
              <a:cs typeface="+mn-cs"/>
            </a:rPr>
            <a:t>Health</a:t>
          </a:r>
          <a:r>
            <a:rPr lang="en-IN" sz="1100">
              <a:solidFill>
                <a:schemeClr val="dk1"/>
              </a:solidFill>
              <a:effectLst/>
              <a:latin typeface="+mn-lt"/>
              <a:ea typeface="+mn-ea"/>
              <a:cs typeface="+mn-cs"/>
            </a:rPr>
            <a:t> inflation</a:t>
          </a:r>
          <a:r>
            <a:rPr lang="en-IN" sz="1100" baseline="0">
              <a:solidFill>
                <a:schemeClr val="dk1"/>
              </a:solidFill>
              <a:effectLst/>
              <a:latin typeface="+mn-lt"/>
              <a:ea typeface="+mn-ea"/>
              <a:cs typeface="+mn-cs"/>
            </a:rPr>
            <a:t> declined f</a:t>
          </a:r>
          <a:r>
            <a:rPr lang="en-IN" sz="1100">
              <a:solidFill>
                <a:schemeClr val="dk1"/>
              </a:solidFill>
              <a:effectLst/>
              <a:latin typeface="+mn-lt"/>
              <a:ea typeface="+mn-ea"/>
              <a:cs typeface="+mn-cs"/>
            </a:rPr>
            <a:t>rom </a:t>
          </a:r>
          <a:r>
            <a:rPr lang="en-IN" sz="1100" b="1">
              <a:solidFill>
                <a:schemeClr val="dk1"/>
              </a:solidFill>
              <a:effectLst/>
              <a:latin typeface="+mn-lt"/>
              <a:ea typeface="+mn-ea"/>
              <a:cs typeface="+mn-cs"/>
            </a:rPr>
            <a:t>7.8% in 2020–2021</a:t>
          </a:r>
          <a:r>
            <a:rPr lang="en-IN" sz="1100">
              <a:solidFill>
                <a:schemeClr val="dk1"/>
              </a:solidFill>
              <a:effectLst/>
              <a:latin typeface="+mn-lt"/>
              <a:ea typeface="+mn-ea"/>
              <a:cs typeface="+mn-cs"/>
            </a:rPr>
            <a:t> to </a:t>
          </a:r>
          <a:r>
            <a:rPr lang="en-IN" sz="1100" b="1">
              <a:solidFill>
                <a:schemeClr val="dk1"/>
              </a:solidFill>
              <a:effectLst/>
              <a:latin typeface="+mn-lt"/>
              <a:ea typeface="+mn-ea"/>
              <a:cs typeface="+mn-cs"/>
            </a:rPr>
            <a:t>6.6% in 2021–2022</a:t>
          </a:r>
          <a:r>
            <a:rPr lang="en-IN" sz="1100">
              <a:solidFill>
                <a:schemeClr val="dk1"/>
              </a:solidFill>
              <a:effectLst/>
              <a:latin typeface="+mn-lt"/>
              <a:ea typeface="+mn-ea"/>
              <a:cs typeface="+mn-cs"/>
            </a:rPr>
            <a:t>.</a:t>
          </a:r>
          <a:endParaRPr lang="en-IN">
            <a:effectLst/>
          </a:endParaRPr>
        </a:p>
        <a:p>
          <a:r>
            <a:rPr lang="en-IN" sz="1100" b="1">
              <a:solidFill>
                <a:schemeClr val="dk1"/>
              </a:solidFill>
              <a:effectLst/>
              <a:latin typeface="+mn-lt"/>
              <a:ea typeface="+mn-ea"/>
              <a:cs typeface="+mn-cs"/>
            </a:rPr>
            <a:t>Food</a:t>
          </a:r>
          <a:r>
            <a:rPr lang="en-IN" sz="1100">
              <a:solidFill>
                <a:schemeClr val="dk1"/>
              </a:solidFill>
              <a:effectLst/>
              <a:latin typeface="+mn-lt"/>
              <a:ea typeface="+mn-ea"/>
              <a:cs typeface="+mn-cs"/>
            </a:rPr>
            <a:t> inflation declined from </a:t>
          </a:r>
          <a:r>
            <a:rPr lang="en-IN" sz="1100" b="1">
              <a:solidFill>
                <a:schemeClr val="dk1"/>
              </a:solidFill>
              <a:effectLst/>
              <a:latin typeface="+mn-lt"/>
              <a:ea typeface="+mn-ea"/>
              <a:cs typeface="+mn-cs"/>
            </a:rPr>
            <a:t>8.5%</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in 2020–2021</a:t>
          </a:r>
          <a:r>
            <a:rPr lang="en-IN" sz="1100">
              <a:solidFill>
                <a:schemeClr val="dk1"/>
              </a:solidFill>
              <a:effectLst/>
              <a:latin typeface="+mn-lt"/>
              <a:ea typeface="+mn-ea"/>
              <a:cs typeface="+mn-cs"/>
            </a:rPr>
            <a:t> to </a:t>
          </a:r>
          <a:r>
            <a:rPr lang="en-IN" sz="1100" b="1">
              <a:solidFill>
                <a:schemeClr val="dk1"/>
              </a:solidFill>
              <a:effectLst/>
              <a:latin typeface="+mn-lt"/>
              <a:ea typeface="+mn-ea"/>
              <a:cs typeface="+mn-cs"/>
            </a:rPr>
            <a:t>5.9%</a:t>
          </a:r>
          <a:r>
            <a:rPr lang="en-IN" sz="1100">
              <a:solidFill>
                <a:schemeClr val="dk1"/>
              </a:solidFill>
              <a:effectLst/>
              <a:latin typeface="+mn-lt"/>
              <a:ea typeface="+mn-ea"/>
              <a:cs typeface="+mn-cs"/>
            </a:rPr>
            <a:t> </a:t>
          </a:r>
          <a:r>
            <a:rPr lang="en-IN" sz="1100" b="1">
              <a:solidFill>
                <a:schemeClr val="dk1"/>
              </a:solidFill>
              <a:effectLst/>
              <a:latin typeface="+mn-lt"/>
              <a:ea typeface="+mn-ea"/>
              <a:cs typeface="+mn-cs"/>
            </a:rPr>
            <a:t>in 2021–2022</a:t>
          </a:r>
          <a:r>
            <a:rPr lang="en-IN" sz="1100">
              <a:solidFill>
                <a:schemeClr val="dk1"/>
              </a:solidFill>
              <a:effectLst/>
              <a:latin typeface="+mn-lt"/>
              <a:ea typeface="+mn-ea"/>
              <a:cs typeface="+mn-cs"/>
            </a:rPr>
            <a:t>.</a:t>
          </a:r>
          <a:endParaRPr lang="en-IN">
            <a:effectLst/>
          </a:endParaRPr>
        </a:p>
        <a:p>
          <a:r>
            <a:rPr lang="en-IN" sz="1100" b="1">
              <a:solidFill>
                <a:schemeClr val="dk1"/>
              </a:solidFill>
              <a:effectLst/>
              <a:latin typeface="+mn-lt"/>
              <a:ea typeface="+mn-ea"/>
              <a:cs typeface="+mn-cs"/>
            </a:rPr>
            <a:t>Essentials</a:t>
          </a:r>
          <a:r>
            <a:rPr lang="en-IN" sz="1100">
              <a:solidFill>
                <a:schemeClr val="dk1"/>
              </a:solidFill>
              <a:effectLst/>
              <a:latin typeface="+mn-lt"/>
              <a:ea typeface="+mn-ea"/>
              <a:cs typeface="+mn-cs"/>
            </a:rPr>
            <a:t>  inflation declined from</a:t>
          </a:r>
          <a:r>
            <a:rPr lang="en-IN" sz="1100" b="1" baseline="0">
              <a:solidFill>
                <a:schemeClr val="dk1"/>
              </a:solidFill>
              <a:effectLst/>
              <a:latin typeface="+mn-lt"/>
              <a:ea typeface="+mn-ea"/>
              <a:cs typeface="+mn-cs"/>
            </a:rPr>
            <a:t> 8</a:t>
          </a:r>
          <a:r>
            <a:rPr lang="en-IN" sz="1100" b="1">
              <a:solidFill>
                <a:schemeClr val="dk1"/>
              </a:solidFill>
              <a:effectLst/>
              <a:latin typeface="+mn-lt"/>
              <a:ea typeface="+mn-ea"/>
              <a:cs typeface="+mn-cs"/>
            </a:rPr>
            <a:t>.5%</a:t>
          </a:r>
          <a:r>
            <a:rPr lang="en-IN" sz="1100" b="1" baseline="0">
              <a:solidFill>
                <a:schemeClr val="dk1"/>
              </a:solidFill>
              <a:effectLst/>
              <a:latin typeface="+mn-lt"/>
              <a:ea typeface="+mn-ea"/>
              <a:cs typeface="+mn-cs"/>
            </a:rPr>
            <a:t> in 2020-2021 </a:t>
          </a:r>
          <a:r>
            <a:rPr lang="en-IN" sz="1100" b="0" baseline="0">
              <a:solidFill>
                <a:schemeClr val="dk1"/>
              </a:solidFill>
              <a:effectLst/>
              <a:latin typeface="+mn-lt"/>
              <a:ea typeface="+mn-ea"/>
              <a:cs typeface="+mn-cs"/>
            </a:rPr>
            <a:t>to </a:t>
          </a:r>
          <a:r>
            <a:rPr lang="en-IN" sz="1100" b="1" baseline="0">
              <a:solidFill>
                <a:schemeClr val="dk1"/>
              </a:solidFill>
              <a:effectLst/>
              <a:latin typeface="+mn-lt"/>
              <a:ea typeface="+mn-ea"/>
              <a:cs typeface="+mn-cs"/>
            </a:rPr>
            <a:t>6.4% </a:t>
          </a:r>
          <a:r>
            <a:rPr lang="en-IN" sz="1100" b="0" baseline="0">
              <a:solidFill>
                <a:schemeClr val="dk1"/>
              </a:solidFill>
              <a:effectLst/>
              <a:latin typeface="+mn-lt"/>
              <a:ea typeface="+mn-ea"/>
              <a:cs typeface="+mn-cs"/>
            </a:rPr>
            <a:t>in </a:t>
          </a:r>
          <a:r>
            <a:rPr lang="en-IN" sz="1100" b="1" baseline="0">
              <a:solidFill>
                <a:schemeClr val="dk1"/>
              </a:solidFill>
              <a:effectLst/>
              <a:latin typeface="+mn-lt"/>
              <a:ea typeface="+mn-ea"/>
              <a:cs typeface="+mn-cs"/>
            </a:rPr>
            <a:t>2021-2022</a:t>
          </a:r>
          <a:r>
            <a:rPr lang="en-IN" sz="1100">
              <a:solidFill>
                <a:schemeClr val="dk1"/>
              </a:solidFill>
              <a:effectLst/>
              <a:latin typeface="+mn-lt"/>
              <a:ea typeface="+mn-ea"/>
              <a:cs typeface="+mn-cs"/>
            </a:rPr>
            <a:t>.</a:t>
          </a:r>
        </a:p>
        <a:p>
          <a:endParaRPr lang="en-IN">
            <a:effectLst/>
          </a:endParaRPr>
        </a:p>
        <a:p>
          <a:endParaRPr lang="en-IN" sz="11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4</xdr:row>
      <xdr:rowOff>0</xdr:rowOff>
    </xdr:from>
    <xdr:to>
      <xdr:col>9</xdr:col>
      <xdr:colOff>9525</xdr:colOff>
      <xdr:row>18</xdr:row>
      <xdr:rowOff>157827</xdr:rowOff>
    </xdr:to>
    <xdr:graphicFrame macro="">
      <xdr:nvGraphicFramePr>
        <xdr:cNvPr id="2" name="Chart 1">
          <a:extLst>
            <a:ext uri="{FF2B5EF4-FFF2-40B4-BE49-F238E27FC236}">
              <a16:creationId xmlns:a16="http://schemas.microsoft.com/office/drawing/2014/main" id="{5F2C39C8-E761-4F71-A7F2-3A449D170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4</xdr:row>
      <xdr:rowOff>9526</xdr:rowOff>
    </xdr:from>
    <xdr:to>
      <xdr:col>17</xdr:col>
      <xdr:colOff>22860</xdr:colOff>
      <xdr:row>18</xdr:row>
      <xdr:rowOff>161925</xdr:rowOff>
    </xdr:to>
    <xdr:graphicFrame macro="">
      <xdr:nvGraphicFramePr>
        <xdr:cNvPr id="3" name="Chart 2">
          <a:extLst>
            <a:ext uri="{FF2B5EF4-FFF2-40B4-BE49-F238E27FC236}">
              <a16:creationId xmlns:a16="http://schemas.microsoft.com/office/drawing/2014/main" id="{E9557A70-C604-4B34-AAB5-615294440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601978</xdr:colOff>
      <xdr:row>25</xdr:row>
      <xdr:rowOff>175260</xdr:rowOff>
    </xdr:from>
    <xdr:to>
      <xdr:col>17</xdr:col>
      <xdr:colOff>34636</xdr:colOff>
      <xdr:row>40</xdr:row>
      <xdr:rowOff>161925</xdr:rowOff>
    </xdr:to>
    <xdr:graphicFrame macro="">
      <xdr:nvGraphicFramePr>
        <xdr:cNvPr id="5" name="Chart 4">
          <a:extLst>
            <a:ext uri="{FF2B5EF4-FFF2-40B4-BE49-F238E27FC236}">
              <a16:creationId xmlns:a16="http://schemas.microsoft.com/office/drawing/2014/main" id="{D597C112-CD97-4941-9C81-AF9E546EE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9525</xdr:colOff>
      <xdr:row>47</xdr:row>
      <xdr:rowOff>0</xdr:rowOff>
    </xdr:from>
    <xdr:to>
      <xdr:col>17</xdr:col>
      <xdr:colOff>138546</xdr:colOff>
      <xdr:row>63</xdr:row>
      <xdr:rowOff>60613</xdr:rowOff>
    </xdr:to>
    <xdr:graphicFrame macro="">
      <xdr:nvGraphicFramePr>
        <xdr:cNvPr id="7" name="Chart 6">
          <a:extLst>
            <a:ext uri="{FF2B5EF4-FFF2-40B4-BE49-F238E27FC236}">
              <a16:creationId xmlns:a16="http://schemas.microsoft.com/office/drawing/2014/main" id="{E0C8A5ED-3DB9-43C6-AED8-D2FC65331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9525</xdr:colOff>
      <xdr:row>4</xdr:row>
      <xdr:rowOff>9525</xdr:rowOff>
    </xdr:from>
    <xdr:to>
      <xdr:col>9</xdr:col>
      <xdr:colOff>28575</xdr:colOff>
      <xdr:row>19</xdr:row>
      <xdr:rowOff>9525</xdr:rowOff>
    </xdr:to>
    <xdr:cxnSp macro="">
      <xdr:nvCxnSpPr>
        <xdr:cNvPr id="9" name="Straight Connector 8">
          <a:extLst>
            <a:ext uri="{FF2B5EF4-FFF2-40B4-BE49-F238E27FC236}">
              <a16:creationId xmlns:a16="http://schemas.microsoft.com/office/drawing/2014/main" id="{EC8FB730-62D2-6BD1-58DC-5A2520E50603}"/>
            </a:ext>
          </a:extLst>
        </xdr:cNvPr>
        <xdr:cNvCxnSpPr/>
      </xdr:nvCxnSpPr>
      <xdr:spPr>
        <a:xfrm>
          <a:off x="5495925" y="733425"/>
          <a:ext cx="19050" cy="2714625"/>
        </a:xfrm>
        <a:prstGeom prst="line">
          <a:avLst/>
        </a:prstGeom>
        <a:ln w="38100">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591215</xdr:colOff>
      <xdr:row>26</xdr:row>
      <xdr:rowOff>19050</xdr:rowOff>
    </xdr:from>
    <xdr:to>
      <xdr:col>9</xdr:col>
      <xdr:colOff>665</xdr:colOff>
      <xdr:row>41</xdr:row>
      <xdr:rowOff>19050</xdr:rowOff>
    </xdr:to>
    <xdr:cxnSp macro="">
      <xdr:nvCxnSpPr>
        <xdr:cNvPr id="10" name="Straight Connector 9">
          <a:extLst>
            <a:ext uri="{FF2B5EF4-FFF2-40B4-BE49-F238E27FC236}">
              <a16:creationId xmlns:a16="http://schemas.microsoft.com/office/drawing/2014/main" id="{36A75506-0953-40F7-B661-B556BB805C07}"/>
            </a:ext>
          </a:extLst>
        </xdr:cNvPr>
        <xdr:cNvCxnSpPr/>
      </xdr:nvCxnSpPr>
      <xdr:spPr>
        <a:xfrm>
          <a:off x="5482192" y="4874585"/>
          <a:ext cx="20822" cy="2791046"/>
        </a:xfrm>
        <a:prstGeom prst="line">
          <a:avLst/>
        </a:prstGeom>
        <a:ln w="76200" cap="sq">
          <a:solidFill>
            <a:srgbClr val="FF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228600</xdr:colOff>
      <xdr:row>60</xdr:row>
      <xdr:rowOff>28575</xdr:rowOff>
    </xdr:from>
    <xdr:to>
      <xdr:col>15</xdr:col>
      <xdr:colOff>469605</xdr:colOff>
      <xdr:row>63</xdr:row>
      <xdr:rowOff>17721</xdr:rowOff>
    </xdr:to>
    <xdr:sp macro="" textlink="">
      <xdr:nvSpPr>
        <xdr:cNvPr id="11" name="TextBox 10">
          <a:extLst>
            <a:ext uri="{FF2B5EF4-FFF2-40B4-BE49-F238E27FC236}">
              <a16:creationId xmlns:a16="http://schemas.microsoft.com/office/drawing/2014/main" id="{3875C31E-4D46-CC9D-F747-CF8DA48FDCA1}"/>
            </a:ext>
          </a:extLst>
        </xdr:cNvPr>
        <xdr:cNvSpPr txBox="1"/>
      </xdr:nvSpPr>
      <xdr:spPr>
        <a:xfrm>
          <a:off x="5715000" y="10925175"/>
          <a:ext cx="3898605" cy="532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050" b="1"/>
            <a:t>YOY Inflation(2020-2021)                            YOY</a:t>
          </a:r>
          <a:r>
            <a:rPr lang="en-IN" sz="1050" b="1" baseline="0"/>
            <a:t> Inflation(2021-2022)</a:t>
          </a:r>
        </a:p>
      </xdr:txBody>
    </xdr:sp>
    <xdr:clientData/>
  </xdr:twoCellAnchor>
  <xdr:twoCellAnchor>
    <xdr:from>
      <xdr:col>1</xdr:col>
      <xdr:colOff>443023</xdr:colOff>
      <xdr:row>17</xdr:row>
      <xdr:rowOff>0</xdr:rowOff>
    </xdr:from>
    <xdr:to>
      <xdr:col>8</xdr:col>
      <xdr:colOff>380999</xdr:colOff>
      <xdr:row>18</xdr:row>
      <xdr:rowOff>124045</xdr:rowOff>
    </xdr:to>
    <xdr:sp macro="" textlink="">
      <xdr:nvSpPr>
        <xdr:cNvPr id="12" name="TextBox 11">
          <a:extLst>
            <a:ext uri="{FF2B5EF4-FFF2-40B4-BE49-F238E27FC236}">
              <a16:creationId xmlns:a16="http://schemas.microsoft.com/office/drawing/2014/main" id="{D16E4A20-E72B-E7B4-79C0-7777B88756E5}"/>
            </a:ext>
          </a:extLst>
        </xdr:cNvPr>
        <xdr:cNvSpPr txBox="1"/>
      </xdr:nvSpPr>
      <xdr:spPr>
        <a:xfrm>
          <a:off x="1054395" y="3163186"/>
          <a:ext cx="4217581" cy="31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IN" sz="1000" b="1"/>
            <a:t>YOY Inflation(2018-2019)</a:t>
          </a:r>
          <a:r>
            <a:rPr lang="en-IN" sz="1000" b="1" baseline="0"/>
            <a:t>                            YOY Inflation(2019-2020)</a:t>
          </a:r>
          <a:endParaRPr lang="en-IN" sz="1000" b="1"/>
        </a:p>
      </xdr:txBody>
    </xdr:sp>
    <xdr:clientData/>
  </xdr:twoCellAnchor>
  <xdr:twoCellAnchor>
    <xdr:from>
      <xdr:col>1</xdr:col>
      <xdr:colOff>28575</xdr:colOff>
      <xdr:row>26</xdr:row>
      <xdr:rowOff>0</xdr:rowOff>
    </xdr:from>
    <xdr:to>
      <xdr:col>8</xdr:col>
      <xdr:colOff>584790</xdr:colOff>
      <xdr:row>40</xdr:row>
      <xdr:rowOff>177208</xdr:rowOff>
    </xdr:to>
    <xdr:graphicFrame macro="">
      <xdr:nvGraphicFramePr>
        <xdr:cNvPr id="13" name="Chart 12">
          <a:extLst>
            <a:ext uri="{FF2B5EF4-FFF2-40B4-BE49-F238E27FC236}">
              <a16:creationId xmlns:a16="http://schemas.microsoft.com/office/drawing/2014/main" id="{49DACE12-F373-4CB7-89F3-9BF383338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571500</xdr:colOff>
      <xdr:row>46</xdr:row>
      <xdr:rowOff>181840</xdr:rowOff>
    </xdr:from>
    <xdr:to>
      <xdr:col>9</xdr:col>
      <xdr:colOff>3233</xdr:colOff>
      <xdr:row>63</xdr:row>
      <xdr:rowOff>51953</xdr:rowOff>
    </xdr:to>
    <xdr:graphicFrame macro="">
      <xdr:nvGraphicFramePr>
        <xdr:cNvPr id="14" name="Chart 13">
          <a:extLst>
            <a:ext uri="{FF2B5EF4-FFF2-40B4-BE49-F238E27FC236}">
              <a16:creationId xmlns:a16="http://schemas.microsoft.com/office/drawing/2014/main" id="{F819D7A5-1F2D-4DBA-AFA4-2DDF6CB0C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0.06689</cdr:x>
      <cdr:y>0.85949</cdr:y>
    </cdr:from>
    <cdr:to>
      <cdr:x>0.87305</cdr:x>
      <cdr:y>0.97495</cdr:y>
    </cdr:to>
    <cdr:sp macro="" textlink="">
      <cdr:nvSpPr>
        <cdr:cNvPr id="3" name="TextBox 2">
          <a:extLst xmlns:a="http://schemas.openxmlformats.org/drawingml/2006/main">
            <a:ext uri="{FF2B5EF4-FFF2-40B4-BE49-F238E27FC236}">
              <a16:creationId xmlns:a16="http://schemas.microsoft.com/office/drawing/2014/main" id="{65F21BE5-62AE-0A3A-3F12-7873C069E90F}"/>
            </a:ext>
          </a:extLst>
        </cdr:cNvPr>
        <cdr:cNvSpPr txBox="1"/>
      </cdr:nvSpPr>
      <cdr:spPr>
        <a:xfrm xmlns:a="http://schemas.openxmlformats.org/drawingml/2006/main">
          <a:off x="327172" y="2374606"/>
          <a:ext cx="3942907" cy="3189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11.xml><?xml version="1.0" encoding="utf-8"?>
<c:userShapes xmlns:c="http://schemas.openxmlformats.org/drawingml/2006/chart">
  <cdr:relSizeAnchor xmlns:cdr="http://schemas.openxmlformats.org/drawingml/2006/chartDrawing">
    <cdr:from>
      <cdr:x>0.0706</cdr:x>
      <cdr:y>0.89829</cdr:y>
    </cdr:from>
    <cdr:to>
      <cdr:x>0.81292</cdr:x>
      <cdr:y>1</cdr:y>
    </cdr:to>
    <cdr:pic>
      <cdr:nvPicPr>
        <cdr:cNvPr id="3" name="chart">
          <a:extLst xmlns:a="http://schemas.openxmlformats.org/drawingml/2006/main">
            <a:ext uri="{FF2B5EF4-FFF2-40B4-BE49-F238E27FC236}">
              <a16:creationId xmlns:a16="http://schemas.microsoft.com/office/drawing/2014/main" id="{04B280F1-3D45-BA37-2BDD-403D260764C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45558" y="2476936"/>
          <a:ext cx="3633531" cy="280440"/>
        </a:xfrm>
        <a:prstGeom xmlns:a="http://schemas.openxmlformats.org/drawingml/2006/main" prst="rect">
          <a:avLst/>
        </a:prstGeom>
      </cdr:spPr>
    </cdr:pic>
  </cdr:relSizeAnchor>
</c:userShapes>
</file>

<file path=xl/drawings/drawing12.xml><?xml version="1.0" encoding="utf-8"?>
<c:userShapes xmlns:c="http://schemas.openxmlformats.org/drawingml/2006/chart">
  <cdr:relSizeAnchor xmlns:cdr="http://schemas.openxmlformats.org/drawingml/2006/chartDrawing">
    <cdr:from>
      <cdr:x>0.07912</cdr:x>
      <cdr:y>0.89887</cdr:y>
    </cdr:from>
    <cdr:to>
      <cdr:x>0.82523</cdr:x>
      <cdr:y>1</cdr:y>
    </cdr:to>
    <cdr:pic>
      <cdr:nvPicPr>
        <cdr:cNvPr id="2" name="chart">
          <a:extLst xmlns:a="http://schemas.openxmlformats.org/drawingml/2006/main">
            <a:ext uri="{FF2B5EF4-FFF2-40B4-BE49-F238E27FC236}">
              <a16:creationId xmlns:a16="http://schemas.microsoft.com/office/drawing/2014/main" id="{95CCC9DA-E7D9-AE29-692F-56B9C465C8B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84175" y="2428104"/>
          <a:ext cx="3623007" cy="273186"/>
        </a:xfrm>
        <a:prstGeom xmlns:a="http://schemas.openxmlformats.org/drawingml/2006/main" prst="rect">
          <a:avLst/>
        </a:prstGeom>
      </cdr:spPr>
    </cdr:pic>
  </cdr:relSizeAnchor>
</c:userShapes>
</file>

<file path=xl/drawings/drawing13.xml><?xml version="1.0" encoding="utf-8"?>
<c:userShapes xmlns:c="http://schemas.openxmlformats.org/drawingml/2006/chart">
  <cdr:relSizeAnchor xmlns:cdr="http://schemas.openxmlformats.org/drawingml/2006/chartDrawing">
    <cdr:from>
      <cdr:x>0.00585</cdr:x>
      <cdr:y>0.0132</cdr:y>
    </cdr:from>
    <cdr:to>
      <cdr:x>0.00585</cdr:x>
      <cdr:y>0.9769</cdr:y>
    </cdr:to>
    <cdr:cxnSp macro="">
      <cdr:nvCxnSpPr>
        <cdr:cNvPr id="4" name="Straight Connector 3">
          <a:extLst xmlns:a="http://schemas.openxmlformats.org/drawingml/2006/main">
            <a:ext uri="{FF2B5EF4-FFF2-40B4-BE49-F238E27FC236}">
              <a16:creationId xmlns:a16="http://schemas.microsoft.com/office/drawing/2014/main" id="{A244710A-8813-E36E-B5C8-F6D7C1270B54}"/>
            </a:ext>
          </a:extLst>
        </cdr:cNvPr>
        <cdr:cNvCxnSpPr/>
      </cdr:nvCxnSpPr>
      <cdr:spPr>
        <a:xfrm xmlns:a="http://schemas.openxmlformats.org/drawingml/2006/main">
          <a:off x="28575" y="38100"/>
          <a:ext cx="0" cy="2781300"/>
        </a:xfrm>
        <a:prstGeom xmlns:a="http://schemas.openxmlformats.org/drawingml/2006/main" prst="line">
          <a:avLst/>
        </a:prstGeom>
        <a:ln xmlns:a="http://schemas.openxmlformats.org/drawingml/2006/main" w="76200">
          <a:solidFill>
            <a:srgbClr val="FF0000"/>
          </a:solidFill>
          <a:prstDash val="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0.04936</cdr:x>
      <cdr:y>0.89103</cdr:y>
    </cdr:from>
    <cdr:to>
      <cdr:x>0.94333</cdr:x>
      <cdr:y>0.96795</cdr:y>
    </cdr:to>
    <cdr:sp macro="" textlink="">
      <cdr:nvSpPr>
        <cdr:cNvPr id="2" name="TextBox 1">
          <a:extLst xmlns:a="http://schemas.openxmlformats.org/drawingml/2006/main">
            <a:ext uri="{FF2B5EF4-FFF2-40B4-BE49-F238E27FC236}">
              <a16:creationId xmlns:a16="http://schemas.microsoft.com/office/drawing/2014/main" id="{4BDF7044-BD1E-0751-BD07-3B898749F89D}"/>
            </a:ext>
          </a:extLst>
        </cdr:cNvPr>
        <cdr:cNvSpPr txBox="1"/>
      </cdr:nvSpPr>
      <cdr:spPr>
        <a:xfrm xmlns:a="http://schemas.openxmlformats.org/drawingml/2006/main">
          <a:off x="239233" y="2463210"/>
          <a:ext cx="4332767" cy="2126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0.02925</cdr:x>
      <cdr:y>0.73397</cdr:y>
    </cdr:from>
    <cdr:to>
      <cdr:x>0.96344</cdr:x>
      <cdr:y>0.96154</cdr:y>
    </cdr:to>
    <cdr:sp macro="" textlink="">
      <cdr:nvSpPr>
        <cdr:cNvPr id="3" name="TextBox 2">
          <a:extLst xmlns:a="http://schemas.openxmlformats.org/drawingml/2006/main">
            <a:ext uri="{FF2B5EF4-FFF2-40B4-BE49-F238E27FC236}">
              <a16:creationId xmlns:a16="http://schemas.microsoft.com/office/drawing/2014/main" id="{DB0777A2-473A-F34D-B842-841C08B73165}"/>
            </a:ext>
          </a:extLst>
        </cdr:cNvPr>
        <cdr:cNvSpPr txBox="1"/>
      </cdr:nvSpPr>
      <cdr:spPr>
        <a:xfrm xmlns:a="http://schemas.openxmlformats.org/drawingml/2006/main">
          <a:off x="141767" y="2029047"/>
          <a:ext cx="4527698" cy="62909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0.02559</cdr:x>
      <cdr:y>0.8141</cdr:y>
    </cdr:from>
    <cdr:to>
      <cdr:x>0.96161</cdr:x>
      <cdr:y>0.98397</cdr:y>
    </cdr:to>
    <cdr:sp macro="" textlink="">
      <cdr:nvSpPr>
        <cdr:cNvPr id="4" name="TextBox 3">
          <a:extLst xmlns:a="http://schemas.openxmlformats.org/drawingml/2006/main">
            <a:ext uri="{FF2B5EF4-FFF2-40B4-BE49-F238E27FC236}">
              <a16:creationId xmlns:a16="http://schemas.microsoft.com/office/drawing/2014/main" id="{6291E016-6309-6ECD-AA25-130B54D9C923}"/>
            </a:ext>
          </a:extLst>
        </cdr:cNvPr>
        <cdr:cNvSpPr txBox="1"/>
      </cdr:nvSpPr>
      <cdr:spPr>
        <a:xfrm xmlns:a="http://schemas.openxmlformats.org/drawingml/2006/main">
          <a:off x="124048" y="2250559"/>
          <a:ext cx="4536558" cy="4696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0.10969</cdr:x>
      <cdr:y>0.89856</cdr:y>
    </cdr:from>
    <cdr:to>
      <cdr:x>0.85939</cdr:x>
      <cdr:y>1</cdr:y>
    </cdr:to>
    <cdr:pic>
      <cdr:nvPicPr>
        <cdr:cNvPr id="5" name="chart">
          <a:extLst xmlns:a="http://schemas.openxmlformats.org/drawingml/2006/main">
            <a:ext uri="{FF2B5EF4-FFF2-40B4-BE49-F238E27FC236}">
              <a16:creationId xmlns:a16="http://schemas.microsoft.com/office/drawing/2014/main" id="{3A126124-AFC8-860F-C01D-E98D11AF877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531629" y="2484025"/>
          <a:ext cx="3633531" cy="280440"/>
        </a:xfrm>
        <a:prstGeom xmlns:a="http://schemas.openxmlformats.org/drawingml/2006/main" prst="rect">
          <a:avLst/>
        </a:prstGeom>
      </cdr:spPr>
    </cdr:pic>
  </cdr:relSizeAnchor>
</c:userShapes>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0</xdr:col>
      <xdr:colOff>941070</xdr:colOff>
      <xdr:row>7</xdr:row>
      <xdr:rowOff>87630</xdr:rowOff>
    </xdr:to>
    <xdr:pic>
      <xdr:nvPicPr>
        <xdr:cNvPr id="2" name="Picture 1">
          <a:extLst>
            <a:ext uri="{FF2B5EF4-FFF2-40B4-BE49-F238E27FC236}">
              <a16:creationId xmlns:a16="http://schemas.microsoft.com/office/drawing/2014/main" id="{9F60FCE0-64F0-426B-AC4E-FED2B8D80E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7170"/>
          <a:ext cx="941070" cy="10896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1059180</xdr:colOff>
      <xdr:row>1</xdr:row>
      <xdr:rowOff>30480</xdr:rowOff>
    </xdr:from>
    <xdr:to>
      <xdr:col>14</xdr:col>
      <xdr:colOff>800100</xdr:colOff>
      <xdr:row>6</xdr:row>
      <xdr:rowOff>114300</xdr:rowOff>
    </xdr:to>
    <xdr:sp macro="" textlink="">
      <xdr:nvSpPr>
        <xdr:cNvPr id="3" name="TextBox 2">
          <a:extLst>
            <a:ext uri="{FF2B5EF4-FFF2-40B4-BE49-F238E27FC236}">
              <a16:creationId xmlns:a16="http://schemas.microsoft.com/office/drawing/2014/main" id="{D10BEEAD-F9A4-449D-86C5-62FE7EDF24A6}"/>
            </a:ext>
          </a:extLst>
        </xdr:cNvPr>
        <xdr:cNvSpPr txBox="1"/>
      </xdr:nvSpPr>
      <xdr:spPr>
        <a:xfrm>
          <a:off x="1059180" y="228600"/>
          <a:ext cx="9227820" cy="1059180"/>
        </a:xfrm>
        <a:prstGeom prst="rect">
          <a:avLst/>
        </a:prstGeom>
        <a:solidFill>
          <a:schemeClr val="accent2">
            <a:lumMod val="50000"/>
          </a:schemeClr>
        </a:solidFill>
        <a:ln w="76200" cmpd="sng">
          <a:solidFill>
            <a:schemeClr val="accent4">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5. Investigate how major global economic events (like imported crude oil price fluctuations) have influenced India’s inflation. This can include an analysis of imported goods and their price trends.</a:t>
          </a:r>
          <a:endParaRPr lang="en-IN" sz="1200">
            <a:solidFill>
              <a:schemeClr val="bg1"/>
            </a:solidFill>
          </a:endParaRPr>
        </a:p>
        <a:p>
          <a:r>
            <a:rPr lang="en-IN" sz="1200" b="1">
              <a:solidFill>
                <a:schemeClr val="bg1"/>
              </a:solidFill>
            </a:rPr>
            <a:t>For the purpose of this analysis, focus only on the imported oil price fluctuations for years 2021 to 2023 (Month-on-month)</a:t>
          </a:r>
          <a:endParaRPr lang="en-IN" sz="1200">
            <a:solidFill>
              <a:schemeClr val="bg1"/>
            </a:solidFill>
          </a:endParaRPr>
        </a:p>
        <a:p>
          <a:r>
            <a:rPr lang="en-IN" sz="1200" b="1">
              <a:solidFill>
                <a:schemeClr val="bg1"/>
              </a:solidFill>
            </a:rPr>
            <a:t>Identify trends in oil price change with change in inflation prices of all the categories and identify category whose inflation prices strongly changes with fluctuations in imported oil price (Hint: you can use </a:t>
          </a:r>
          <a:r>
            <a:rPr lang="en-IN" sz="1200" b="1">
              <a:solidFill>
                <a:schemeClr val="bg1"/>
              </a:solidFill>
              <a:latin typeface="+mn-lt"/>
              <a:ea typeface="+mn-ea"/>
              <a:cs typeface="+mn-cs"/>
            </a:rPr>
            <a:t>=correl function</a:t>
          </a:r>
          <a:r>
            <a:rPr lang="en-IN" sz="1200" b="1">
              <a:solidFill>
                <a:schemeClr val="bg1"/>
              </a:solidFill>
            </a:rPr>
            <a:t>)</a:t>
          </a:r>
          <a:endParaRPr lang="en-IN" sz="1200">
            <a:solidFill>
              <a:schemeClr val="bg1"/>
            </a:solidFill>
          </a:endParaRPr>
        </a:p>
        <a:p>
          <a:endParaRPr lang="en-IN" sz="1200" kern="1200">
            <a:solidFill>
              <a:schemeClr val="bg1"/>
            </a:solidFill>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2</xdr:col>
      <xdr:colOff>73069</xdr:colOff>
      <xdr:row>42</xdr:row>
      <xdr:rowOff>177451</xdr:rowOff>
    </xdr:from>
    <xdr:to>
      <xdr:col>16</xdr:col>
      <xdr:colOff>20877</xdr:colOff>
      <xdr:row>68</xdr:row>
      <xdr:rowOff>156574</xdr:rowOff>
    </xdr:to>
    <xdr:graphicFrame macro="">
      <xdr:nvGraphicFramePr>
        <xdr:cNvPr id="3" name="Chart 2">
          <a:extLst>
            <a:ext uri="{FF2B5EF4-FFF2-40B4-BE49-F238E27FC236}">
              <a16:creationId xmlns:a16="http://schemas.microsoft.com/office/drawing/2014/main" id="{EF4E1C21-B36C-8A62-7CE5-D5F5ABEE2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1</xdr:col>
      <xdr:colOff>22860</xdr:colOff>
      <xdr:row>0</xdr:row>
      <xdr:rowOff>22860</xdr:rowOff>
    </xdr:from>
    <xdr:to>
      <xdr:col>19</xdr:col>
      <xdr:colOff>457200</xdr:colOff>
      <xdr:row>64</xdr:row>
      <xdr:rowOff>173182</xdr:rowOff>
    </xdr:to>
    <xdr:sp macro="" textlink="">
      <xdr:nvSpPr>
        <xdr:cNvPr id="2" name="TextBox 1">
          <a:extLst>
            <a:ext uri="{FF2B5EF4-FFF2-40B4-BE49-F238E27FC236}">
              <a16:creationId xmlns:a16="http://schemas.microsoft.com/office/drawing/2014/main" id="{1CD82EB1-D86F-7A40-6F21-6684B11ECEB7}"/>
            </a:ext>
          </a:extLst>
        </xdr:cNvPr>
        <xdr:cNvSpPr txBox="1"/>
      </xdr:nvSpPr>
      <xdr:spPr>
        <a:xfrm>
          <a:off x="634769" y="22860"/>
          <a:ext cx="11448704" cy="11972867"/>
        </a:xfrm>
        <a:prstGeom prst="rect">
          <a:avLst/>
        </a:prstGeom>
        <a:solidFill>
          <a:schemeClr val="accent5">
            <a:lumMod val="20000"/>
            <a:lumOff val="80000"/>
          </a:schemeClr>
        </a:solidFill>
        <a:ln w="3810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2</xdr:col>
      <xdr:colOff>152400</xdr:colOff>
      <xdr:row>1</xdr:row>
      <xdr:rowOff>38100</xdr:rowOff>
    </xdr:from>
    <xdr:to>
      <xdr:col>18</xdr:col>
      <xdr:colOff>595923</xdr:colOff>
      <xdr:row>3</xdr:row>
      <xdr:rowOff>60960</xdr:rowOff>
    </xdr:to>
    <xdr:sp macro="" textlink="">
      <xdr:nvSpPr>
        <xdr:cNvPr id="3" name="TextBox 2">
          <a:extLst>
            <a:ext uri="{FF2B5EF4-FFF2-40B4-BE49-F238E27FC236}">
              <a16:creationId xmlns:a16="http://schemas.microsoft.com/office/drawing/2014/main" id="{8C60145F-0DD1-D185-948B-5C3932E0DF7D}"/>
            </a:ext>
          </a:extLst>
        </xdr:cNvPr>
        <xdr:cNvSpPr txBox="1"/>
      </xdr:nvSpPr>
      <xdr:spPr>
        <a:xfrm>
          <a:off x="1363785" y="223715"/>
          <a:ext cx="10134600" cy="394091"/>
        </a:xfrm>
        <a:prstGeom prst="rect">
          <a:avLst/>
        </a:prstGeom>
        <a:solidFill>
          <a:schemeClr val="accent4">
            <a:lumMod val="5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u="sng">
              <a:solidFill>
                <a:schemeClr val="accent4">
                  <a:lumMod val="20000"/>
                  <a:lumOff val="80000"/>
                </a:schemeClr>
              </a:solidFill>
            </a:rPr>
            <a:t>CPI Inflation Analysis in India (2013–2023)</a:t>
          </a:r>
        </a:p>
      </xdr:txBody>
    </xdr:sp>
    <xdr:clientData/>
  </xdr:twoCellAnchor>
  <xdr:twoCellAnchor>
    <xdr:from>
      <xdr:col>2</xdr:col>
      <xdr:colOff>152400</xdr:colOff>
      <xdr:row>3</xdr:row>
      <xdr:rowOff>91440</xdr:rowOff>
    </xdr:from>
    <xdr:to>
      <xdr:col>18</xdr:col>
      <xdr:colOff>595923</xdr:colOff>
      <xdr:row>5</xdr:row>
      <xdr:rowOff>68580</xdr:rowOff>
    </xdr:to>
    <xdr:sp macro="" textlink="">
      <xdr:nvSpPr>
        <xdr:cNvPr id="5" name="TextBox 4">
          <a:extLst>
            <a:ext uri="{FF2B5EF4-FFF2-40B4-BE49-F238E27FC236}">
              <a16:creationId xmlns:a16="http://schemas.microsoft.com/office/drawing/2014/main" id="{6F2C4CE8-0467-ABA4-F6CA-06CF381891B8}"/>
            </a:ext>
          </a:extLst>
        </xdr:cNvPr>
        <xdr:cNvSpPr txBox="1"/>
      </xdr:nvSpPr>
      <xdr:spPr>
        <a:xfrm>
          <a:off x="1363785" y="648286"/>
          <a:ext cx="10134600" cy="348371"/>
        </a:xfrm>
        <a:prstGeom prst="rect">
          <a:avLst/>
        </a:prstGeom>
        <a:solidFill>
          <a:schemeClr val="accent4">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i="1">
              <a:solidFill>
                <a:schemeClr val="accent2">
                  <a:lumMod val="50000"/>
                </a:schemeClr>
              </a:solidFill>
            </a:rPr>
            <a:t>Analysed CPI data to determine Inflation Patterns, Food Contributions, COVID-19 Effects, and Oil Price Linkages.</a:t>
          </a:r>
        </a:p>
      </xdr:txBody>
    </xdr:sp>
    <xdr:clientData/>
  </xdr:twoCellAnchor>
  <xdr:twoCellAnchor>
    <xdr:from>
      <xdr:col>2</xdr:col>
      <xdr:colOff>160020</xdr:colOff>
      <xdr:row>5</xdr:row>
      <xdr:rowOff>110490</xdr:rowOff>
    </xdr:from>
    <xdr:to>
      <xdr:col>18</xdr:col>
      <xdr:colOff>586153</xdr:colOff>
      <xdr:row>13</xdr:row>
      <xdr:rowOff>15240</xdr:rowOff>
    </xdr:to>
    <xdr:sp macro="" textlink="">
      <xdr:nvSpPr>
        <xdr:cNvPr id="6" name="TextBox 5">
          <a:extLst>
            <a:ext uri="{FF2B5EF4-FFF2-40B4-BE49-F238E27FC236}">
              <a16:creationId xmlns:a16="http://schemas.microsoft.com/office/drawing/2014/main" id="{671CABFC-4C86-B454-3A9E-AC43D51A85A3}"/>
            </a:ext>
          </a:extLst>
        </xdr:cNvPr>
        <xdr:cNvSpPr txBox="1"/>
      </xdr:nvSpPr>
      <xdr:spPr>
        <a:xfrm>
          <a:off x="1371405" y="1038567"/>
          <a:ext cx="10117210" cy="1389673"/>
        </a:xfrm>
        <a:prstGeom prst="rect">
          <a:avLst/>
        </a:prstGeom>
        <a:solidFill>
          <a:schemeClr val="accent4">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Font typeface="Wingdings" panose="05000000000000000000" pitchFamily="2" charset="2"/>
            <a:buChar char="Ø"/>
          </a:pPr>
          <a:r>
            <a:rPr lang="en-IN" b="1">
              <a:solidFill>
                <a:schemeClr val="accent2">
                  <a:lumMod val="50000"/>
                </a:schemeClr>
              </a:solidFill>
            </a:rPr>
            <a:t>Food</a:t>
          </a:r>
          <a:r>
            <a:rPr lang="en-IN">
              <a:solidFill>
                <a:schemeClr val="accent2">
                  <a:lumMod val="50000"/>
                </a:schemeClr>
              </a:solidFill>
            </a:rPr>
            <a:t> was the top contributor to inflation in May 2023.</a:t>
          </a:r>
        </a:p>
        <a:p>
          <a:pPr marL="171450" indent="-171450">
            <a:buFont typeface="Wingdings" panose="05000000000000000000" pitchFamily="2" charset="2"/>
            <a:buChar char="Ø"/>
          </a:pPr>
          <a:r>
            <a:rPr lang="en-IN" b="1">
              <a:solidFill>
                <a:schemeClr val="accent2">
                  <a:lumMod val="50000"/>
                </a:schemeClr>
              </a:solidFill>
            </a:rPr>
            <a:t>2019</a:t>
          </a:r>
          <a:r>
            <a:rPr lang="en-IN">
              <a:solidFill>
                <a:schemeClr val="accent2">
                  <a:lumMod val="50000"/>
                </a:schemeClr>
              </a:solidFill>
            </a:rPr>
            <a:t> recorded the highest YoY inflation.</a:t>
          </a:r>
        </a:p>
        <a:p>
          <a:pPr marL="171450" indent="-171450">
            <a:buFont typeface="Wingdings" panose="05000000000000000000" pitchFamily="2" charset="2"/>
            <a:buChar char="Ø"/>
          </a:pPr>
          <a:r>
            <a:rPr lang="en-IN" b="0">
              <a:solidFill>
                <a:schemeClr val="accent2">
                  <a:lumMod val="50000"/>
                </a:schemeClr>
              </a:solidFill>
            </a:rPr>
            <a:t>The month of </a:t>
          </a:r>
          <a:r>
            <a:rPr lang="en-IN" b="1">
              <a:solidFill>
                <a:schemeClr val="accent2">
                  <a:lumMod val="50000"/>
                </a:schemeClr>
              </a:solidFill>
            </a:rPr>
            <a:t>June 2022</a:t>
          </a:r>
          <a:r>
            <a:rPr lang="en-IN">
              <a:solidFill>
                <a:schemeClr val="accent2">
                  <a:lumMod val="50000"/>
                </a:schemeClr>
              </a:solidFill>
            </a:rPr>
            <a:t> saw peak food inflation; </a:t>
          </a:r>
          <a:r>
            <a:rPr lang="en-IN" b="1">
              <a:solidFill>
                <a:schemeClr val="accent2">
                  <a:lumMod val="50000"/>
                </a:schemeClr>
              </a:solidFill>
            </a:rPr>
            <a:t>Dec 2022 &amp; Feb 2023</a:t>
          </a:r>
          <a:r>
            <a:rPr lang="en-IN">
              <a:solidFill>
                <a:schemeClr val="accent2">
                  <a:lumMod val="50000"/>
                </a:schemeClr>
              </a:solidFill>
            </a:rPr>
            <a:t> the lowest.</a:t>
          </a:r>
        </a:p>
        <a:p>
          <a:pPr marL="171450" indent="-171450">
            <a:buFont typeface="Wingdings" panose="05000000000000000000" pitchFamily="2" charset="2"/>
            <a:buChar char="Ø"/>
          </a:pPr>
          <a:r>
            <a:rPr lang="en-IN" b="1">
              <a:solidFill>
                <a:schemeClr val="accent2">
                  <a:lumMod val="50000"/>
                </a:schemeClr>
              </a:solidFill>
            </a:rPr>
            <a:t>Spices</a:t>
          </a:r>
          <a:r>
            <a:rPr lang="en-IN">
              <a:solidFill>
                <a:schemeClr val="accent2">
                  <a:lumMod val="50000"/>
                </a:schemeClr>
              </a:solidFill>
            </a:rPr>
            <a:t> had the highest food subcategory inflation (17%).</a:t>
          </a:r>
        </a:p>
        <a:p>
          <a:pPr marL="171450" indent="-171450">
            <a:buFont typeface="Wingdings" panose="05000000000000000000" pitchFamily="2" charset="2"/>
            <a:buChar char="Ø"/>
          </a:pPr>
          <a:r>
            <a:rPr lang="en-IN" b="1">
              <a:solidFill>
                <a:schemeClr val="accent2">
                  <a:lumMod val="50000"/>
                </a:schemeClr>
              </a:solidFill>
            </a:rPr>
            <a:t>Pre-COVID:</a:t>
          </a:r>
          <a:r>
            <a:rPr lang="en-IN">
              <a:solidFill>
                <a:schemeClr val="accent2">
                  <a:lumMod val="50000"/>
                </a:schemeClr>
              </a:solidFill>
            </a:rPr>
            <a:t> Health led in 2018–19, Food in 2019–20.</a:t>
          </a:r>
        </a:p>
        <a:p>
          <a:pPr marL="171450" indent="-171450">
            <a:buFont typeface="Wingdings" panose="05000000000000000000" pitchFamily="2" charset="2"/>
            <a:buChar char="Ø"/>
          </a:pPr>
          <a:r>
            <a:rPr lang="en-IN" b="1">
              <a:solidFill>
                <a:schemeClr val="accent2">
                  <a:lumMod val="50000"/>
                </a:schemeClr>
              </a:solidFill>
            </a:rPr>
            <a:t>Post-COVID:</a:t>
          </a:r>
          <a:r>
            <a:rPr lang="en-IN">
              <a:solidFill>
                <a:schemeClr val="accent2">
                  <a:lumMod val="50000"/>
                </a:schemeClr>
              </a:solidFill>
            </a:rPr>
            <a:t> Food/Essential peaked in 2020–21; Essentials stayed high in 2021–22 (Urban inflation eased, Health led).</a:t>
          </a:r>
        </a:p>
        <a:p>
          <a:pPr marL="171450" indent="-171450">
            <a:buFont typeface="Wingdings" panose="05000000000000000000" pitchFamily="2" charset="2"/>
            <a:buChar char="Ø"/>
          </a:pPr>
          <a:r>
            <a:rPr lang="en-IN" b="1">
              <a:solidFill>
                <a:schemeClr val="accent2">
                  <a:lumMod val="50000"/>
                </a:schemeClr>
              </a:solidFill>
            </a:rPr>
            <a:t>Changes</a:t>
          </a:r>
          <a:r>
            <a:rPr lang="en-IN" b="1" baseline="0">
              <a:solidFill>
                <a:schemeClr val="accent2">
                  <a:lumMod val="50000"/>
                </a:schemeClr>
              </a:solidFill>
            </a:rPr>
            <a:t> in oil prices </a:t>
          </a:r>
          <a:r>
            <a:rPr lang="en-IN" b="0" baseline="0">
              <a:solidFill>
                <a:schemeClr val="accent2">
                  <a:lumMod val="50000"/>
                </a:schemeClr>
              </a:solidFill>
            </a:rPr>
            <a:t>had the</a:t>
          </a:r>
          <a:r>
            <a:rPr lang="en-IN" b="0">
              <a:solidFill>
                <a:schemeClr val="accent2">
                  <a:lumMod val="50000"/>
                </a:schemeClr>
              </a:solidFill>
            </a:rPr>
            <a:t> </a:t>
          </a:r>
          <a:r>
            <a:rPr lang="en-IN" b="1">
              <a:solidFill>
                <a:schemeClr val="accent2">
                  <a:lumMod val="50000"/>
                </a:schemeClr>
              </a:solidFill>
            </a:rPr>
            <a:t>strongest link </a:t>
          </a:r>
          <a:r>
            <a:rPr lang="en-IN">
              <a:solidFill>
                <a:schemeClr val="accent2">
                  <a:lumMod val="50000"/>
                </a:schemeClr>
              </a:solidFill>
            </a:rPr>
            <a:t>with </a:t>
          </a:r>
          <a:r>
            <a:rPr lang="en-IN" b="1">
              <a:solidFill>
                <a:schemeClr val="accent2">
                  <a:lumMod val="50000"/>
                </a:schemeClr>
              </a:solidFill>
            </a:rPr>
            <a:t>Meat &amp; Fish, Oils &amp; Fats</a:t>
          </a:r>
          <a:r>
            <a:rPr lang="en-IN">
              <a:solidFill>
                <a:schemeClr val="accent2">
                  <a:lumMod val="50000"/>
                </a:schemeClr>
              </a:solidFill>
            </a:rPr>
            <a:t>.</a:t>
          </a:r>
        </a:p>
      </xdr:txBody>
    </xdr:sp>
    <xdr:clientData/>
  </xdr:twoCellAnchor>
  <xdr:twoCellAnchor>
    <xdr:from>
      <xdr:col>2</xdr:col>
      <xdr:colOff>213361</xdr:colOff>
      <xdr:row>13</xdr:row>
      <xdr:rowOff>175260</xdr:rowOff>
    </xdr:from>
    <xdr:to>
      <xdr:col>7</xdr:col>
      <xdr:colOff>571500</xdr:colOff>
      <xdr:row>28</xdr:row>
      <xdr:rowOff>175260</xdr:rowOff>
    </xdr:to>
    <xdr:graphicFrame macro="">
      <xdr:nvGraphicFramePr>
        <xdr:cNvPr id="7" name="Chart 6">
          <a:extLst>
            <a:ext uri="{FF2B5EF4-FFF2-40B4-BE49-F238E27FC236}">
              <a16:creationId xmlns:a16="http://schemas.microsoft.com/office/drawing/2014/main" id="{AF326ED6-D356-4B5B-911A-D6A17990C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46182</xdr:colOff>
      <xdr:row>29</xdr:row>
      <xdr:rowOff>103910</xdr:rowOff>
    </xdr:from>
    <xdr:to>
      <xdr:col>18</xdr:col>
      <xdr:colOff>542636</xdr:colOff>
      <xdr:row>44</xdr:row>
      <xdr:rowOff>34637</xdr:rowOff>
    </xdr:to>
    <xdr:pic>
      <xdr:nvPicPr>
        <xdr:cNvPr id="13" name="Picture 12">
          <a:extLst>
            <a:ext uri="{FF2B5EF4-FFF2-40B4-BE49-F238E27FC236}">
              <a16:creationId xmlns:a16="http://schemas.microsoft.com/office/drawing/2014/main" id="{41DF5468-AC22-EDEC-55D7-009906520474}"/>
            </a:ext>
          </a:extLst>
        </xdr:cNvPr>
        <xdr:cNvPicPr>
          <a:picLocks noChangeAspect="1"/>
        </xdr:cNvPicPr>
      </xdr:nvPicPr>
      <xdr:blipFill rotWithShape="1">
        <a:blip xmlns:r="http://schemas.openxmlformats.org/officeDocument/2006/relationships" r:embed="rId2"/>
        <a:srcRect l="984" t="3984" r="1545" b="3984"/>
        <a:stretch>
          <a:fillRect/>
        </a:stretch>
      </xdr:blipFill>
      <xdr:spPr>
        <a:xfrm>
          <a:off x="4941455" y="5461001"/>
          <a:ext cx="6615545" cy="2701636"/>
        </a:xfrm>
        <a:prstGeom prst="rect">
          <a:avLst/>
        </a:prstGeom>
        <a:effectLst>
          <a:glow rad="139700">
            <a:schemeClr val="accent5">
              <a:satMod val="175000"/>
              <a:alpha val="40000"/>
            </a:schemeClr>
          </a:glow>
        </a:effectLst>
      </xdr:spPr>
    </xdr:pic>
    <xdr:clientData/>
  </xdr:twoCellAnchor>
  <xdr:twoCellAnchor>
    <xdr:from>
      <xdr:col>2</xdr:col>
      <xdr:colOff>173182</xdr:colOff>
      <xdr:row>60</xdr:row>
      <xdr:rowOff>91439</xdr:rowOff>
    </xdr:from>
    <xdr:to>
      <xdr:col>18</xdr:col>
      <xdr:colOff>531091</xdr:colOff>
      <xdr:row>64</xdr:row>
      <xdr:rowOff>0</xdr:rowOff>
    </xdr:to>
    <xdr:sp macro="" textlink="">
      <xdr:nvSpPr>
        <xdr:cNvPr id="17" name="TextBox 16">
          <a:extLst>
            <a:ext uri="{FF2B5EF4-FFF2-40B4-BE49-F238E27FC236}">
              <a16:creationId xmlns:a16="http://schemas.microsoft.com/office/drawing/2014/main" id="{FCC3E639-3C44-8FDE-CB38-B94DC1F2410E}"/>
            </a:ext>
          </a:extLst>
        </xdr:cNvPr>
        <xdr:cNvSpPr txBox="1"/>
      </xdr:nvSpPr>
      <xdr:spPr>
        <a:xfrm>
          <a:off x="1397000" y="11175075"/>
          <a:ext cx="10148455" cy="647470"/>
        </a:xfrm>
        <a:prstGeom prst="rect">
          <a:avLst/>
        </a:prstGeom>
        <a:solidFill>
          <a:schemeClr val="accent4">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accent2">
                  <a:lumMod val="50000"/>
                </a:schemeClr>
              </a:solidFill>
            </a:rPr>
            <a:t>Time Period:</a:t>
          </a:r>
          <a:r>
            <a:rPr lang="en-IN" sz="1400">
              <a:solidFill>
                <a:schemeClr val="accent2">
                  <a:lumMod val="50000"/>
                </a:schemeClr>
              </a:solidFill>
            </a:rPr>
            <a:t> Jan 2013 – May 2023| </a:t>
          </a:r>
          <a:r>
            <a:rPr lang="en-IN" sz="1400" b="1">
              <a:solidFill>
                <a:schemeClr val="accent2">
                  <a:lumMod val="50000"/>
                </a:schemeClr>
              </a:solidFill>
              <a:effectLst/>
              <a:latin typeface="+mn-lt"/>
              <a:ea typeface="+mn-ea"/>
              <a:cs typeface="+mn-cs"/>
            </a:rPr>
            <a:t>Dataset:</a:t>
          </a:r>
          <a:r>
            <a:rPr lang="en-IN" sz="1400">
              <a:solidFill>
                <a:schemeClr val="accent2">
                  <a:lumMod val="50000"/>
                </a:schemeClr>
              </a:solidFill>
              <a:effectLst/>
              <a:latin typeface="+mn-lt"/>
              <a:ea typeface="+mn-ea"/>
              <a:cs typeface="+mn-cs"/>
            </a:rPr>
            <a:t> CPI (Government of India)| </a:t>
          </a:r>
          <a:r>
            <a:rPr lang="en-IN" sz="1400" b="1">
              <a:solidFill>
                <a:schemeClr val="accent2">
                  <a:lumMod val="50000"/>
                </a:schemeClr>
              </a:solidFill>
              <a:effectLst/>
              <a:latin typeface="+mn-lt"/>
              <a:ea typeface="+mn-ea"/>
              <a:cs typeface="+mn-cs"/>
            </a:rPr>
            <a:t>Categories Covered:</a:t>
          </a:r>
          <a:r>
            <a:rPr lang="en-IN" sz="1400">
              <a:solidFill>
                <a:schemeClr val="accent2">
                  <a:lumMod val="50000"/>
                </a:schemeClr>
              </a:solidFill>
              <a:effectLst/>
              <a:latin typeface="+mn-lt"/>
              <a:ea typeface="+mn-ea"/>
              <a:cs typeface="+mn-cs"/>
            </a:rPr>
            <a:t> 14| </a:t>
          </a:r>
          <a:r>
            <a:rPr lang="en-IN" sz="1400" b="1">
              <a:solidFill>
                <a:schemeClr val="accent2">
                  <a:lumMod val="50000"/>
                </a:schemeClr>
              </a:solidFill>
              <a:effectLst/>
              <a:latin typeface="+mn-lt"/>
              <a:ea typeface="+mn-ea"/>
              <a:cs typeface="+mn-cs"/>
            </a:rPr>
            <a:t>Sectors:</a:t>
          </a:r>
          <a:r>
            <a:rPr lang="en-IN" sz="1400">
              <a:solidFill>
                <a:schemeClr val="accent2">
                  <a:lumMod val="50000"/>
                </a:schemeClr>
              </a:solidFill>
              <a:effectLst/>
              <a:latin typeface="+mn-lt"/>
              <a:ea typeface="+mn-ea"/>
              <a:cs typeface="+mn-cs"/>
            </a:rPr>
            <a:t> Rural, Urban, Rural+Urban| </a:t>
          </a:r>
          <a:r>
            <a:rPr lang="en-IN" sz="1400" b="1">
              <a:solidFill>
                <a:schemeClr val="accent2">
                  <a:lumMod val="50000"/>
                </a:schemeClr>
              </a:solidFill>
              <a:effectLst/>
              <a:latin typeface="+mn-lt"/>
              <a:ea typeface="+mn-ea"/>
              <a:cs typeface="+mn-cs"/>
            </a:rPr>
            <a:t>Observations:</a:t>
          </a:r>
          <a:r>
            <a:rPr lang="en-IN" sz="1400">
              <a:solidFill>
                <a:schemeClr val="accent2">
                  <a:lumMod val="50000"/>
                </a:schemeClr>
              </a:solidFill>
              <a:effectLst/>
              <a:latin typeface="+mn-lt"/>
              <a:ea typeface="+mn-ea"/>
              <a:cs typeface="+mn-cs"/>
            </a:rPr>
            <a:t> 373|</a:t>
          </a:r>
          <a:r>
            <a:rPr lang="en-IN" sz="1600" b="1">
              <a:solidFill>
                <a:schemeClr val="accent2">
                  <a:lumMod val="50000"/>
                </a:schemeClr>
              </a:solidFill>
              <a:effectLst/>
              <a:latin typeface="+mn-lt"/>
              <a:ea typeface="+mn-ea"/>
              <a:cs typeface="+mn-cs"/>
            </a:rPr>
            <a:t>Crude oil price source:</a:t>
          </a:r>
          <a:r>
            <a:rPr lang="en-IN" sz="1600">
              <a:solidFill>
                <a:schemeClr val="accent2">
                  <a:lumMod val="50000"/>
                </a:schemeClr>
              </a:solidFill>
              <a:effectLst/>
              <a:latin typeface="+mn-lt"/>
              <a:ea typeface="+mn-ea"/>
              <a:cs typeface="+mn-cs"/>
            </a:rPr>
            <a:t> ppac.gov.in</a:t>
          </a:r>
          <a:endParaRPr lang="en-IN" sz="1400">
            <a:solidFill>
              <a:schemeClr val="accent2">
                <a:lumMod val="50000"/>
              </a:schemeClr>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IN" sz="1400">
              <a:solidFill>
                <a:schemeClr val="accent2">
                  <a:lumMod val="50000"/>
                </a:schemeClr>
              </a:solidFill>
              <a:effectLst/>
              <a:latin typeface="+mn-lt"/>
              <a:ea typeface="+mn-ea"/>
              <a:cs typeface="+mn-cs"/>
            </a:rPr>
          </a:br>
          <a:endParaRPr lang="en-IN" sz="1400">
            <a:solidFill>
              <a:schemeClr val="accent2">
                <a:lumMod val="50000"/>
              </a:schemeClr>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IN" sz="1400">
            <a:solidFill>
              <a:schemeClr val="accent2">
                <a:lumMod val="50000"/>
              </a:schemeClr>
            </a:solidFill>
            <a:effectLst/>
          </a:endParaRPr>
        </a:p>
        <a:p>
          <a:endParaRPr lang="en-IN" sz="1400">
            <a:solidFill>
              <a:schemeClr val="accent2">
                <a:lumMod val="50000"/>
              </a:schemeClr>
            </a:solidFill>
          </a:endParaRPr>
        </a:p>
        <a:p>
          <a:endParaRPr lang="en-IN" sz="1400">
            <a:solidFill>
              <a:schemeClr val="accent2">
                <a:lumMod val="50000"/>
              </a:schemeClr>
            </a:solidFill>
          </a:endParaRPr>
        </a:p>
        <a:p>
          <a:endParaRPr lang="en-IN" sz="1400">
            <a:solidFill>
              <a:schemeClr val="accent2">
                <a:lumMod val="50000"/>
              </a:schemeClr>
            </a:solidFill>
          </a:endParaRPr>
        </a:p>
      </xdr:txBody>
    </xdr:sp>
    <xdr:clientData/>
  </xdr:twoCellAnchor>
  <xdr:twoCellAnchor editAs="oneCell">
    <xdr:from>
      <xdr:col>13</xdr:col>
      <xdr:colOff>435917</xdr:colOff>
      <xdr:row>13</xdr:row>
      <xdr:rowOff>135147</xdr:rowOff>
    </xdr:from>
    <xdr:to>
      <xdr:col>18</xdr:col>
      <xdr:colOff>531936</xdr:colOff>
      <xdr:row>28</xdr:row>
      <xdr:rowOff>166077</xdr:rowOff>
    </xdr:to>
    <xdr:pic>
      <xdr:nvPicPr>
        <xdr:cNvPr id="18" name="Picture 17">
          <a:extLst>
            <a:ext uri="{FF2B5EF4-FFF2-40B4-BE49-F238E27FC236}">
              <a16:creationId xmlns:a16="http://schemas.microsoft.com/office/drawing/2014/main" id="{03B917E4-6180-4CB7-A06B-2449186CA8A5}"/>
            </a:ext>
          </a:extLst>
        </xdr:cNvPr>
        <xdr:cNvPicPr>
          <a:picLocks noChangeAspect="1"/>
        </xdr:cNvPicPr>
      </xdr:nvPicPr>
      <xdr:blipFill>
        <a:blip xmlns:r="http://schemas.openxmlformats.org/officeDocument/2006/relationships" r:embed="rId3"/>
        <a:stretch>
          <a:fillRect/>
        </a:stretch>
      </xdr:blipFill>
      <xdr:spPr>
        <a:xfrm>
          <a:off x="8309917" y="2548147"/>
          <a:ext cx="3124481" cy="2815161"/>
        </a:xfrm>
        <a:prstGeom prst="rect">
          <a:avLst/>
        </a:prstGeom>
        <a:effectLst>
          <a:glow rad="139700">
            <a:schemeClr val="accent5">
              <a:satMod val="175000"/>
              <a:alpha val="40000"/>
            </a:schemeClr>
          </a:glow>
        </a:effectLst>
      </xdr:spPr>
    </xdr:pic>
    <xdr:clientData/>
  </xdr:twoCellAnchor>
  <xdr:twoCellAnchor editAs="oneCell">
    <xdr:from>
      <xdr:col>2</xdr:col>
      <xdr:colOff>115455</xdr:colOff>
      <xdr:row>44</xdr:row>
      <xdr:rowOff>117232</xdr:rowOff>
    </xdr:from>
    <xdr:to>
      <xdr:col>13</xdr:col>
      <xdr:colOff>293077</xdr:colOff>
      <xdr:row>59</xdr:row>
      <xdr:rowOff>136769</xdr:rowOff>
    </xdr:to>
    <xdr:pic>
      <xdr:nvPicPr>
        <xdr:cNvPr id="20" name="Picture 19">
          <a:extLst>
            <a:ext uri="{FF2B5EF4-FFF2-40B4-BE49-F238E27FC236}">
              <a16:creationId xmlns:a16="http://schemas.microsoft.com/office/drawing/2014/main" id="{3918C7EC-9F6C-9785-1C33-6EB490E59615}"/>
            </a:ext>
          </a:extLst>
        </xdr:cNvPr>
        <xdr:cNvPicPr>
          <a:picLocks noChangeAspect="1"/>
        </xdr:cNvPicPr>
      </xdr:nvPicPr>
      <xdr:blipFill>
        <a:blip xmlns:r="http://schemas.openxmlformats.org/officeDocument/2006/relationships" r:embed="rId4"/>
        <a:stretch>
          <a:fillRect/>
        </a:stretch>
      </xdr:blipFill>
      <xdr:spPr>
        <a:xfrm>
          <a:off x="1339273" y="8245232"/>
          <a:ext cx="6908622" cy="2790446"/>
        </a:xfrm>
        <a:prstGeom prst="rect">
          <a:avLst/>
        </a:prstGeom>
      </xdr:spPr>
    </xdr:pic>
    <xdr:clientData/>
  </xdr:twoCellAnchor>
  <xdr:twoCellAnchor editAs="oneCell">
    <xdr:from>
      <xdr:col>2</xdr:col>
      <xdr:colOff>185615</xdr:colOff>
      <xdr:row>29</xdr:row>
      <xdr:rowOff>69273</xdr:rowOff>
    </xdr:from>
    <xdr:to>
      <xdr:col>7</xdr:col>
      <xdr:colOff>595923</xdr:colOff>
      <xdr:row>44</xdr:row>
      <xdr:rowOff>29308</xdr:rowOff>
    </xdr:to>
    <xdr:pic>
      <xdr:nvPicPr>
        <xdr:cNvPr id="21" name="Picture 20">
          <a:extLst>
            <a:ext uri="{FF2B5EF4-FFF2-40B4-BE49-F238E27FC236}">
              <a16:creationId xmlns:a16="http://schemas.microsoft.com/office/drawing/2014/main" id="{1AF64CCE-AD9D-19B6-A2F2-FBECB5E7E2B9}"/>
            </a:ext>
          </a:extLst>
        </xdr:cNvPr>
        <xdr:cNvPicPr>
          <a:picLocks noChangeAspect="1"/>
        </xdr:cNvPicPr>
      </xdr:nvPicPr>
      <xdr:blipFill rotWithShape="1">
        <a:blip xmlns:r="http://schemas.openxmlformats.org/officeDocument/2006/relationships" r:embed="rId5"/>
        <a:srcRect t="3767"/>
        <a:stretch>
          <a:fillRect/>
        </a:stretch>
      </xdr:blipFill>
      <xdr:spPr>
        <a:xfrm>
          <a:off x="1409433" y="5426364"/>
          <a:ext cx="3469854" cy="2730944"/>
        </a:xfrm>
        <a:prstGeom prst="rect">
          <a:avLst/>
        </a:prstGeom>
        <a:effectLst>
          <a:glow rad="139700">
            <a:schemeClr val="accent5">
              <a:satMod val="175000"/>
              <a:alpha val="40000"/>
            </a:schemeClr>
          </a:glow>
        </a:effectLst>
      </xdr:spPr>
    </xdr:pic>
    <xdr:clientData/>
  </xdr:twoCellAnchor>
  <xdr:twoCellAnchor>
    <xdr:from>
      <xdr:col>8</xdr:col>
      <xdr:colOff>104923</xdr:colOff>
      <xdr:row>13</xdr:row>
      <xdr:rowOff>156309</xdr:rowOff>
    </xdr:from>
    <xdr:to>
      <xdr:col>13</xdr:col>
      <xdr:colOff>277092</xdr:colOff>
      <xdr:row>28</xdr:row>
      <xdr:rowOff>150092</xdr:rowOff>
    </xdr:to>
    <xdr:graphicFrame macro="">
      <xdr:nvGraphicFramePr>
        <xdr:cNvPr id="22" name="Chart 21">
          <a:extLst>
            <a:ext uri="{FF2B5EF4-FFF2-40B4-BE49-F238E27FC236}">
              <a16:creationId xmlns:a16="http://schemas.microsoft.com/office/drawing/2014/main" id="{2B3CA183-D340-4CB8-A743-357AF9220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351692</xdr:colOff>
      <xdr:row>44</xdr:row>
      <xdr:rowOff>173182</xdr:rowOff>
    </xdr:from>
    <xdr:to>
      <xdr:col>18</xdr:col>
      <xdr:colOff>517769</xdr:colOff>
      <xdr:row>59</xdr:row>
      <xdr:rowOff>87923</xdr:rowOff>
    </xdr:to>
    <xdr:sp macro="" textlink="">
      <xdr:nvSpPr>
        <xdr:cNvPr id="23" name="TextBox 22">
          <a:extLst>
            <a:ext uri="{FF2B5EF4-FFF2-40B4-BE49-F238E27FC236}">
              <a16:creationId xmlns:a16="http://schemas.microsoft.com/office/drawing/2014/main" id="{24182C98-B6A6-DFE6-18C5-C72CF251E56A}"/>
            </a:ext>
          </a:extLst>
        </xdr:cNvPr>
        <xdr:cNvSpPr txBox="1"/>
      </xdr:nvSpPr>
      <xdr:spPr>
        <a:xfrm>
          <a:off x="8306510" y="8301182"/>
          <a:ext cx="3225623" cy="2685650"/>
        </a:xfrm>
        <a:prstGeom prst="rect">
          <a:avLst/>
        </a:prstGeom>
        <a:solidFill>
          <a:schemeClr val="accent4">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u="sng">
              <a:solidFill>
                <a:schemeClr val="accent2">
                  <a:lumMod val="50000"/>
                </a:schemeClr>
              </a:solidFill>
            </a:rPr>
            <a:t>Conclusion:</a:t>
          </a:r>
          <a:br>
            <a:rPr lang="en-IN" sz="1400">
              <a:solidFill>
                <a:schemeClr val="accent2">
                  <a:lumMod val="50000"/>
                </a:schemeClr>
              </a:solidFill>
            </a:rPr>
          </a:br>
          <a:br>
            <a:rPr lang="en-IN" sz="1400">
              <a:solidFill>
                <a:schemeClr val="accent2">
                  <a:lumMod val="50000"/>
                </a:schemeClr>
              </a:solidFill>
            </a:rPr>
          </a:br>
          <a:r>
            <a:rPr lang="en-IN" sz="1600" b="0" i="1">
              <a:solidFill>
                <a:schemeClr val="accent2">
                  <a:lumMod val="50000"/>
                </a:schemeClr>
              </a:solidFill>
            </a:rPr>
            <a:t>Inflation patterns shifted across categories post-COVID, with food and essentials peaking in 2020–2021 while health gained importance later.</a:t>
          </a:r>
          <a:br>
            <a:rPr lang="en-IN" sz="1600" b="0" i="1">
              <a:solidFill>
                <a:schemeClr val="accent2">
                  <a:lumMod val="50000"/>
                </a:schemeClr>
              </a:solidFill>
            </a:rPr>
          </a:br>
          <a:r>
            <a:rPr lang="en-IN" sz="1600" b="0" i="1">
              <a:solidFill>
                <a:schemeClr val="accent2">
                  <a:lumMod val="50000"/>
                </a:schemeClr>
              </a:solidFill>
            </a:rPr>
            <a:t>Crude oil price fluctuations showed the strongest impact on meat &amp; fish, and oils</a:t>
          </a:r>
          <a:r>
            <a:rPr lang="en-IN" sz="1600" b="0" i="1" baseline="0">
              <a:solidFill>
                <a:schemeClr val="accent2">
                  <a:lumMod val="50000"/>
                </a:schemeClr>
              </a:solidFill>
            </a:rPr>
            <a:t> &amp; fats.</a:t>
          </a:r>
          <a:endParaRPr lang="en-IN" sz="1600" b="0" i="1">
            <a:solidFill>
              <a:schemeClr val="accent2">
                <a:lumMod val="50000"/>
              </a:schemeClr>
            </a:solidFill>
          </a:endParaRPr>
        </a:p>
        <a:p>
          <a:endParaRPr lang="en-IN" sz="1400">
            <a:solidFill>
              <a:schemeClr val="accent2">
                <a:lumMod val="50000"/>
              </a:schemeClr>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D68F3F-38FB-4FC2-95F2-5094EA866CA1}" name="Table1" displayName="Table1" ref="A1:AD373" totalsRowShown="0" headerRowDxfId="32" dataDxfId="31" tableBorderDxfId="30">
  <autoFilter ref="A1:AD373" xr:uid="{EAD68F3F-38FB-4FC2-95F2-5094EA866CA1}"/>
  <tableColumns count="30">
    <tableColumn id="1" xr3:uid="{6596CE7D-D2EE-4378-9BFE-DB6CC1990E1E}" name="Sector" dataDxfId="29"/>
    <tableColumn id="2" xr3:uid="{1B20E212-66AC-4A86-AD1E-96AAF3AF54BC}" name="Year" dataDxfId="28"/>
    <tableColumn id="3" xr3:uid="{3ED6E11C-F335-47CB-81A9-EC0599CBE701}" name="Month" dataDxfId="27"/>
    <tableColumn id="4" xr3:uid="{DA738150-71D7-4685-9FBE-BE90900EC2BD}" name="Cereals and products" dataDxfId="26"/>
    <tableColumn id="5" xr3:uid="{99A34C5F-C648-437D-87C9-AF35203B715C}" name="Meat and fish" dataDxfId="25"/>
    <tableColumn id="6" xr3:uid="{B2DD0D2A-E63D-4E66-906D-15523F54EE03}" name="Egg" dataDxfId="24"/>
    <tableColumn id="7" xr3:uid="{03A6B576-6A49-4FAC-8FF2-9C11AA20220E}" name="Milk and products" dataDxfId="23"/>
    <tableColumn id="8" xr3:uid="{AD436FDA-7B13-4C12-A333-82FFF1C40E48}" name="Oils and fats" dataDxfId="22"/>
    <tableColumn id="9" xr3:uid="{FC31374A-7DC4-430C-8C65-D37A216D9C82}" name="Fruits" dataDxfId="21"/>
    <tableColumn id="10" xr3:uid="{D48B6E9C-9AC6-4D0B-873E-3B5858E0B1C6}" name="Vegetables" dataDxfId="20"/>
    <tableColumn id="11" xr3:uid="{86056212-D714-4FF9-A459-0F70EFE68EA8}" name="Pulses and products" dataDxfId="19"/>
    <tableColumn id="12" xr3:uid="{A6E3641D-8BE6-480A-A62C-E065813416F8}" name="Sugar and Confectionery" dataDxfId="18"/>
    <tableColumn id="13" xr3:uid="{228A7CF1-FFD4-42D2-BA7F-069320661901}" name="Spices" dataDxfId="17"/>
    <tableColumn id="14" xr3:uid="{4BABA683-BC13-47BC-95B3-E20A58C00F8D}" name="Non-alcoholic beverages" dataDxfId="16"/>
    <tableColumn id="15" xr3:uid="{3B04D717-1C12-4A38-A59E-3CDF91954746}" name="Prepared meals, snacks, sweets etc." dataDxfId="15"/>
    <tableColumn id="16" xr3:uid="{77152491-B6BA-4FDC-8DF0-C10266EA504C}" name="Food and beverages" dataDxfId="14"/>
    <tableColumn id="17" xr3:uid="{BE2AE9B8-9FC3-4488-893E-FDD60FF121FB}" name="Pan, tobacco and intoxicants" dataDxfId="13"/>
    <tableColumn id="18" xr3:uid="{39EF4676-BCC2-47E4-94BE-B9F6317DD1C2}" name="Clothing" dataDxfId="12"/>
    <tableColumn id="19" xr3:uid="{5DB2FF2E-C0CD-4BA9-A97C-8AD3C8EF94EA}" name="Footwear" dataDxfId="11"/>
    <tableColumn id="20" xr3:uid="{55849AC3-FAF6-4DDD-BF05-95A561E38082}" name="Clothing and footwear" dataDxfId="10"/>
    <tableColumn id="21" xr3:uid="{771502DA-0D02-421E-A68D-CAA51253C68E}" name="Housing" dataDxfId="9"/>
    <tableColumn id="22" xr3:uid="{F6427B43-9835-422C-BAFF-3D39EF92EF89}" name="Fuel and light" dataDxfId="8"/>
    <tableColumn id="23" xr3:uid="{4F069D57-58B9-40B3-A8ED-7A9AD001C2BA}" name="Household goods and services" dataDxfId="7"/>
    <tableColumn id="24" xr3:uid="{B52A1576-E266-4666-AB25-692772B2033A}" name="Health" dataDxfId="6"/>
    <tableColumn id="25" xr3:uid="{6C27DDC9-0452-445A-A30A-976FC101CAB6}" name="Transport and communication" dataDxfId="5"/>
    <tableColumn id="26" xr3:uid="{8F0763C9-C0B0-4381-AECD-9052B8984E0D}" name="Recreation and amusement" dataDxfId="4"/>
    <tableColumn id="27" xr3:uid="{331D4F16-8C77-4BFE-9478-9C97FA76C4E0}" name="Education" dataDxfId="3"/>
    <tableColumn id="28" xr3:uid="{64844092-59EC-4414-B58F-BB707E717BAE}" name="Personal care and effects" dataDxfId="2"/>
    <tableColumn id="29" xr3:uid="{F9134C66-6631-48BA-8780-8FF46540FF7C}" name="Miscellaneous" dataDxfId="1"/>
    <tableColumn id="30" xr3:uid="{AEEC1EF1-A436-4A9B-A380-7F5DE955E6AF}" name="General index"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0208D-A504-4489-B47F-7DD91EDB1C63}">
  <dimension ref="A1:AD373"/>
  <sheetViews>
    <sheetView workbookViewId="0">
      <selection activeCell="D8" sqref="D8"/>
    </sheetView>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F3705-DDCD-4AB0-A088-BCCC5700A4B2}">
  <dimension ref="A1:S33"/>
  <sheetViews>
    <sheetView showGridLines="0" topLeftCell="A52" workbookViewId="0">
      <selection activeCell="E69" sqref="E69"/>
    </sheetView>
  </sheetViews>
  <sheetFormatPr defaultRowHeight="14.4" x14ac:dyDescent="0.3"/>
  <cols>
    <col min="2" max="2" width="13.77734375" customWidth="1"/>
  </cols>
  <sheetData>
    <row r="1" spans="1:13" ht="18" x14ac:dyDescent="0.35">
      <c r="A1" t="s">
        <v>62</v>
      </c>
      <c r="B1" s="180" t="s">
        <v>63</v>
      </c>
      <c r="C1" s="180"/>
      <c r="D1" s="180"/>
      <c r="E1" s="180"/>
      <c r="F1" s="180"/>
    </row>
    <row r="3" spans="1:13" x14ac:dyDescent="0.3">
      <c r="M3" s="2" t="s">
        <v>49</v>
      </c>
    </row>
    <row r="4" spans="1:13" x14ac:dyDescent="0.3">
      <c r="M4" t="s">
        <v>50</v>
      </c>
    </row>
    <row r="5" spans="1:13" x14ac:dyDescent="0.3">
      <c r="M5" t="s">
        <v>51</v>
      </c>
    </row>
    <row r="6" spans="1:13" x14ac:dyDescent="0.3">
      <c r="M6" t="s">
        <v>52</v>
      </c>
    </row>
    <row r="7" spans="1:13" x14ac:dyDescent="0.3">
      <c r="M7" t="s">
        <v>53</v>
      </c>
    </row>
    <row r="8" spans="1:13" x14ac:dyDescent="0.3">
      <c r="M8" t="s">
        <v>54</v>
      </c>
    </row>
    <row r="23" spans="13:19" x14ac:dyDescent="0.3">
      <c r="M23" t="s">
        <v>58</v>
      </c>
      <c r="N23" s="2" t="s">
        <v>34</v>
      </c>
    </row>
    <row r="24" spans="13:19" x14ac:dyDescent="0.3">
      <c r="N24" t="s">
        <v>55</v>
      </c>
      <c r="O24" t="s">
        <v>56</v>
      </c>
      <c r="P24" t="s">
        <v>57</v>
      </c>
    </row>
    <row r="25" spans="13:19" x14ac:dyDescent="0.3">
      <c r="M25">
        <v>2017</v>
      </c>
      <c r="N25">
        <v>100</v>
      </c>
      <c r="O25">
        <v>110</v>
      </c>
      <c r="P25" s="1">
        <f>(O25-N25)/N25</f>
        <v>0.1</v>
      </c>
      <c r="Q25" t="s">
        <v>59</v>
      </c>
    </row>
    <row r="26" spans="13:19" x14ac:dyDescent="0.3">
      <c r="M26">
        <v>2018</v>
      </c>
      <c r="N26">
        <v>111</v>
      </c>
      <c r="O26">
        <v>118</v>
      </c>
      <c r="P26" s="1">
        <f>(O26-N26)/N26</f>
        <v>6.3063063063063057E-2</v>
      </c>
    </row>
    <row r="27" spans="13:19" x14ac:dyDescent="0.3">
      <c r="M27">
        <v>2019</v>
      </c>
    </row>
    <row r="28" spans="13:19" x14ac:dyDescent="0.3">
      <c r="M28">
        <v>2020</v>
      </c>
    </row>
    <row r="29" spans="13:19" x14ac:dyDescent="0.3">
      <c r="M29">
        <v>2021</v>
      </c>
    </row>
    <row r="30" spans="13:19" x14ac:dyDescent="0.3">
      <c r="M30">
        <v>2022</v>
      </c>
    </row>
    <row r="31" spans="13:19" x14ac:dyDescent="0.3">
      <c r="M31">
        <v>2023</v>
      </c>
      <c r="O31" t="s">
        <v>60</v>
      </c>
      <c r="P31" s="181" t="s">
        <v>61</v>
      </c>
      <c r="Q31" s="181"/>
      <c r="R31" s="181"/>
      <c r="S31" s="181"/>
    </row>
    <row r="32" spans="13:19" x14ac:dyDescent="0.3">
      <c r="P32" s="181"/>
      <c r="Q32" s="181"/>
      <c r="R32" s="181"/>
      <c r="S32" s="181"/>
    </row>
    <row r="33" spans="13:19" x14ac:dyDescent="0.3">
      <c r="M33" t="s">
        <v>62</v>
      </c>
      <c r="P33" s="181"/>
      <c r="Q33" s="181"/>
      <c r="R33" s="181"/>
      <c r="S33" s="181"/>
    </row>
  </sheetData>
  <mergeCells count="2">
    <mergeCell ref="B1:F1"/>
    <mergeCell ref="P31:S3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6B397-731A-4480-AE20-D9E9616FAF83}">
  <dimension ref="A1"/>
  <sheetViews>
    <sheetView showGridLines="0" topLeftCell="A7" workbookViewId="0">
      <selection activeCell="Q38" sqref="Q38"/>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6766A-7078-445D-985C-BAB82E8BB634}">
  <dimension ref="A1:AE373"/>
  <sheetViews>
    <sheetView workbookViewId="0">
      <pane xSplit="3" topLeftCell="D1" activePane="topRight" state="frozen"/>
      <selection pane="topRight" activeCell="AD361" sqref="AD361"/>
    </sheetView>
  </sheetViews>
  <sheetFormatPr defaultRowHeight="14.4" x14ac:dyDescent="0.3"/>
  <cols>
    <col min="1" max="1" width="11.21875" bestFit="1" customWidth="1"/>
    <col min="2" max="2" width="6.5546875" customWidth="1"/>
    <col min="3" max="3" width="10" bestFit="1" customWidth="1"/>
    <col min="4" max="4" width="20.44140625" customWidth="1"/>
    <col min="5" max="5" width="14.44140625" customWidth="1"/>
    <col min="6" max="6" width="6" bestFit="1" customWidth="1"/>
    <col min="7" max="7" width="18.109375" customWidth="1"/>
    <col min="8" max="8" width="13.109375" customWidth="1"/>
    <col min="9" max="9" width="7.44140625" customWidth="1"/>
    <col min="10" max="10" width="12.109375" customWidth="1"/>
    <col min="11" max="11" width="19.6640625" customWidth="1"/>
    <col min="12" max="12" width="23.6640625" customWidth="1"/>
    <col min="13" max="13" width="8.109375" customWidth="1"/>
    <col min="14" max="14" width="23.5546875" customWidth="1"/>
    <col min="15" max="15" width="32.6640625" customWidth="1"/>
    <col min="16" max="16" width="19.77734375" customWidth="1"/>
    <col min="17" max="17" width="27.109375" customWidth="1"/>
    <col min="18" max="18" width="9.88671875" customWidth="1"/>
    <col min="19" max="19" width="10.77734375" customWidth="1"/>
    <col min="20" max="20" width="21.6640625" customWidth="1"/>
    <col min="21" max="21" width="9.6640625" customWidth="1"/>
    <col min="22" max="22" width="14.109375" customWidth="1"/>
    <col min="23" max="23" width="28.109375" customWidth="1"/>
    <col min="24" max="24" width="8.33203125" customWidth="1"/>
    <col min="25" max="25" width="28.33203125" customWidth="1"/>
    <col min="26" max="26" width="26" customWidth="1"/>
    <col min="27" max="27" width="11.33203125" customWidth="1"/>
    <col min="28" max="28" width="23.88671875" customWidth="1"/>
    <col min="29" max="29" width="14.77734375" customWidth="1"/>
    <col min="30" max="30" width="14.33203125" customWidth="1"/>
  </cols>
  <sheetData>
    <row r="1" spans="1:31"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t="s">
        <v>66</v>
      </c>
    </row>
    <row r="2" spans="1:31" x14ac:dyDescent="0.3">
      <c r="A2" s="5" t="s">
        <v>30</v>
      </c>
      <c r="B2" s="5">
        <v>2013</v>
      </c>
      <c r="C2" s="5" t="s">
        <v>31</v>
      </c>
      <c r="D2" s="5">
        <v>107.5</v>
      </c>
      <c r="E2" s="5">
        <v>106.3</v>
      </c>
      <c r="F2" s="5">
        <v>108.1</v>
      </c>
      <c r="G2" s="5">
        <v>104.9</v>
      </c>
      <c r="H2" s="5">
        <v>106.1</v>
      </c>
      <c r="I2" s="5">
        <v>103.9</v>
      </c>
      <c r="J2" s="5">
        <v>101.9</v>
      </c>
      <c r="K2" s="5">
        <v>106.1</v>
      </c>
      <c r="L2" s="5">
        <v>106.8</v>
      </c>
      <c r="M2" s="5">
        <v>103.1</v>
      </c>
      <c r="N2" s="5">
        <v>104.8</v>
      </c>
      <c r="O2" s="5">
        <v>106.7</v>
      </c>
      <c r="P2" s="5">
        <v>105.5</v>
      </c>
      <c r="Q2" s="5">
        <v>105.1</v>
      </c>
      <c r="R2" s="5">
        <v>106.5</v>
      </c>
      <c r="S2" s="5">
        <v>105.8</v>
      </c>
      <c r="T2" s="5">
        <v>106.4</v>
      </c>
      <c r="U2" s="5" t="s">
        <v>32</v>
      </c>
      <c r="V2" s="5">
        <v>105.5</v>
      </c>
      <c r="W2" s="5">
        <v>104.8</v>
      </c>
      <c r="X2" s="5">
        <v>104</v>
      </c>
      <c r="Y2" s="5">
        <v>103.3</v>
      </c>
      <c r="Z2" s="5">
        <v>103.4</v>
      </c>
      <c r="AA2" s="5">
        <v>103.8</v>
      </c>
      <c r="AB2" s="5">
        <v>104.7</v>
      </c>
      <c r="AC2" s="5">
        <v>104</v>
      </c>
      <c r="AD2" s="5">
        <v>105.1</v>
      </c>
    </row>
    <row r="3" spans="1:31" x14ac:dyDescent="0.3">
      <c r="A3" s="6" t="s">
        <v>33</v>
      </c>
      <c r="B3" s="6">
        <v>2013</v>
      </c>
      <c r="C3" s="6" t="s">
        <v>31</v>
      </c>
      <c r="D3" s="6">
        <v>110.5</v>
      </c>
      <c r="E3" s="6">
        <v>109.1</v>
      </c>
      <c r="F3" s="6">
        <v>113</v>
      </c>
      <c r="G3" s="6">
        <v>103.6</v>
      </c>
      <c r="H3" s="6">
        <v>103.4</v>
      </c>
      <c r="I3" s="6">
        <v>102.3</v>
      </c>
      <c r="J3" s="6">
        <v>102.9</v>
      </c>
      <c r="K3" s="6">
        <v>105.8</v>
      </c>
      <c r="L3" s="6">
        <v>105.1</v>
      </c>
      <c r="M3" s="6">
        <v>101.8</v>
      </c>
      <c r="N3" s="6">
        <v>105.1</v>
      </c>
      <c r="O3" s="6">
        <v>107.9</v>
      </c>
      <c r="P3" s="6">
        <v>105.9</v>
      </c>
      <c r="Q3" s="6">
        <v>105.2</v>
      </c>
      <c r="R3" s="6">
        <v>105.9</v>
      </c>
      <c r="S3" s="6">
        <v>105</v>
      </c>
      <c r="T3" s="6">
        <v>105.8</v>
      </c>
      <c r="U3" s="6">
        <v>100.3</v>
      </c>
      <c r="V3" s="6">
        <v>105.4</v>
      </c>
      <c r="W3" s="6">
        <v>104.8</v>
      </c>
      <c r="X3" s="6">
        <v>104.1</v>
      </c>
      <c r="Y3" s="6">
        <v>103.2</v>
      </c>
      <c r="Z3" s="6">
        <v>102.9</v>
      </c>
      <c r="AA3" s="6">
        <v>103.5</v>
      </c>
      <c r="AB3" s="6">
        <v>104.3</v>
      </c>
      <c r="AC3" s="6">
        <v>103.7</v>
      </c>
      <c r="AD3" s="6">
        <v>104</v>
      </c>
    </row>
    <row r="4" spans="1:31" x14ac:dyDescent="0.3">
      <c r="A4" s="5" t="s">
        <v>34</v>
      </c>
      <c r="B4" s="5">
        <v>2013</v>
      </c>
      <c r="C4" s="5" t="s">
        <v>31</v>
      </c>
      <c r="D4" s="5">
        <v>108.4</v>
      </c>
      <c r="E4" s="5">
        <v>107.3</v>
      </c>
      <c r="F4" s="5">
        <v>110</v>
      </c>
      <c r="G4" s="5">
        <v>104.4</v>
      </c>
      <c r="H4" s="5">
        <v>105.1</v>
      </c>
      <c r="I4" s="5">
        <v>103.2</v>
      </c>
      <c r="J4" s="5">
        <v>102.2</v>
      </c>
      <c r="K4" s="5">
        <v>106</v>
      </c>
      <c r="L4" s="5">
        <v>106.2</v>
      </c>
      <c r="M4" s="5">
        <v>102.7</v>
      </c>
      <c r="N4" s="5">
        <v>104.9</v>
      </c>
      <c r="O4" s="5">
        <v>107.3</v>
      </c>
      <c r="P4" s="5">
        <v>105.6</v>
      </c>
      <c r="Q4" s="5">
        <v>105.1</v>
      </c>
      <c r="R4" s="5">
        <v>106.3</v>
      </c>
      <c r="S4" s="5">
        <v>105.5</v>
      </c>
      <c r="T4" s="5">
        <v>106.2</v>
      </c>
      <c r="U4" s="5">
        <v>100.3</v>
      </c>
      <c r="V4" s="5">
        <v>105.5</v>
      </c>
      <c r="W4" s="5">
        <v>104.8</v>
      </c>
      <c r="X4" s="5">
        <v>104</v>
      </c>
      <c r="Y4" s="5">
        <v>103.2</v>
      </c>
      <c r="Z4" s="5">
        <v>103.1</v>
      </c>
      <c r="AA4" s="5">
        <v>103.6</v>
      </c>
      <c r="AB4" s="5">
        <v>104.5</v>
      </c>
      <c r="AC4" s="5">
        <v>103.9</v>
      </c>
      <c r="AD4" s="5">
        <v>104.6</v>
      </c>
    </row>
    <row r="5" spans="1:31" x14ac:dyDescent="0.3">
      <c r="A5" s="6" t="s">
        <v>30</v>
      </c>
      <c r="B5" s="6">
        <v>2013</v>
      </c>
      <c r="C5" s="6" t="s">
        <v>35</v>
      </c>
      <c r="D5" s="6">
        <v>109.2</v>
      </c>
      <c r="E5" s="6">
        <v>108.7</v>
      </c>
      <c r="F5" s="6">
        <v>110.2</v>
      </c>
      <c r="G5" s="6">
        <v>105.4</v>
      </c>
      <c r="H5" s="6">
        <v>106.7</v>
      </c>
      <c r="I5" s="6">
        <v>104</v>
      </c>
      <c r="J5" s="6">
        <v>102.4</v>
      </c>
      <c r="K5" s="6">
        <v>105.9</v>
      </c>
      <c r="L5" s="6">
        <v>105.7</v>
      </c>
      <c r="M5" s="6">
        <v>103.1</v>
      </c>
      <c r="N5" s="6">
        <v>105.1</v>
      </c>
      <c r="O5" s="6">
        <v>107.7</v>
      </c>
      <c r="P5" s="6">
        <v>106.3</v>
      </c>
      <c r="Q5" s="6">
        <v>105.6</v>
      </c>
      <c r="R5" s="6">
        <v>107.1</v>
      </c>
      <c r="S5" s="6">
        <v>106.3</v>
      </c>
      <c r="T5" s="6">
        <v>107</v>
      </c>
      <c r="U5" s="6" t="s">
        <v>32</v>
      </c>
      <c r="V5" s="6">
        <v>106.2</v>
      </c>
      <c r="W5" s="6">
        <v>105.2</v>
      </c>
      <c r="X5" s="6">
        <v>104.4</v>
      </c>
      <c r="Y5" s="6">
        <v>103.9</v>
      </c>
      <c r="Z5" s="6">
        <v>104</v>
      </c>
      <c r="AA5" s="6">
        <v>104.1</v>
      </c>
      <c r="AB5" s="6">
        <v>104.6</v>
      </c>
      <c r="AC5" s="6">
        <v>104.4</v>
      </c>
      <c r="AD5" s="6">
        <v>105.8</v>
      </c>
    </row>
    <row r="6" spans="1:31" x14ac:dyDescent="0.3">
      <c r="A6" s="5" t="s">
        <v>33</v>
      </c>
      <c r="B6" s="5">
        <v>2013</v>
      </c>
      <c r="C6" s="5" t="s">
        <v>35</v>
      </c>
      <c r="D6" s="5">
        <v>112.9</v>
      </c>
      <c r="E6" s="5">
        <v>112.9</v>
      </c>
      <c r="F6" s="5">
        <v>116.9</v>
      </c>
      <c r="G6" s="5">
        <v>104</v>
      </c>
      <c r="H6" s="5">
        <v>103.5</v>
      </c>
      <c r="I6" s="5">
        <v>103.1</v>
      </c>
      <c r="J6" s="5">
        <v>104.9</v>
      </c>
      <c r="K6" s="5">
        <v>104.1</v>
      </c>
      <c r="L6" s="5">
        <v>103.8</v>
      </c>
      <c r="M6" s="5">
        <v>102.3</v>
      </c>
      <c r="N6" s="5">
        <v>106</v>
      </c>
      <c r="O6" s="5">
        <v>109</v>
      </c>
      <c r="P6" s="5">
        <v>107.2</v>
      </c>
      <c r="Q6" s="5">
        <v>106</v>
      </c>
      <c r="R6" s="5">
        <v>106.6</v>
      </c>
      <c r="S6" s="5">
        <v>105.5</v>
      </c>
      <c r="T6" s="5">
        <v>106.4</v>
      </c>
      <c r="U6" s="5">
        <v>100.4</v>
      </c>
      <c r="V6" s="5">
        <v>105.7</v>
      </c>
      <c r="W6" s="5">
        <v>105.2</v>
      </c>
      <c r="X6" s="5">
        <v>104.7</v>
      </c>
      <c r="Y6" s="5">
        <v>104.4</v>
      </c>
      <c r="Z6" s="5">
        <v>103.3</v>
      </c>
      <c r="AA6" s="5">
        <v>103.7</v>
      </c>
      <c r="AB6" s="5">
        <v>104.3</v>
      </c>
      <c r="AC6" s="5">
        <v>104.3</v>
      </c>
      <c r="AD6" s="5">
        <v>104.7</v>
      </c>
    </row>
    <row r="7" spans="1:31" x14ac:dyDescent="0.3">
      <c r="A7" s="6" t="s">
        <v>34</v>
      </c>
      <c r="B7" s="6">
        <v>2013</v>
      </c>
      <c r="C7" s="6" t="s">
        <v>35</v>
      </c>
      <c r="D7" s="6">
        <v>110.4</v>
      </c>
      <c r="E7" s="6">
        <v>110.2</v>
      </c>
      <c r="F7" s="6">
        <v>112.8</v>
      </c>
      <c r="G7" s="6">
        <v>104.9</v>
      </c>
      <c r="H7" s="6">
        <v>105.5</v>
      </c>
      <c r="I7" s="6">
        <v>103.6</v>
      </c>
      <c r="J7" s="6">
        <v>103.2</v>
      </c>
      <c r="K7" s="6">
        <v>105.3</v>
      </c>
      <c r="L7" s="6">
        <v>105.1</v>
      </c>
      <c r="M7" s="6">
        <v>102.8</v>
      </c>
      <c r="N7" s="6">
        <v>105.5</v>
      </c>
      <c r="O7" s="6">
        <v>108.3</v>
      </c>
      <c r="P7" s="6">
        <v>106.6</v>
      </c>
      <c r="Q7" s="6">
        <v>105.7</v>
      </c>
      <c r="R7" s="6">
        <v>106.9</v>
      </c>
      <c r="S7" s="6">
        <v>106</v>
      </c>
      <c r="T7" s="6">
        <v>106.8</v>
      </c>
      <c r="U7" s="6">
        <v>100.4</v>
      </c>
      <c r="V7" s="6">
        <v>106</v>
      </c>
      <c r="W7" s="6">
        <v>105.2</v>
      </c>
      <c r="X7" s="6">
        <v>104.5</v>
      </c>
      <c r="Y7" s="6">
        <v>104.2</v>
      </c>
      <c r="Z7" s="6">
        <v>103.6</v>
      </c>
      <c r="AA7" s="6">
        <v>103.9</v>
      </c>
      <c r="AB7" s="6">
        <v>104.5</v>
      </c>
      <c r="AC7" s="6">
        <v>104.4</v>
      </c>
      <c r="AD7" s="6">
        <v>105.3</v>
      </c>
    </row>
    <row r="8" spans="1:31" x14ac:dyDescent="0.3">
      <c r="A8" s="5" t="s">
        <v>30</v>
      </c>
      <c r="B8" s="5">
        <v>2013</v>
      </c>
      <c r="C8" s="5" t="s">
        <v>36</v>
      </c>
      <c r="D8" s="5">
        <v>110.2</v>
      </c>
      <c r="E8" s="5">
        <v>108.8</v>
      </c>
      <c r="F8" s="5">
        <v>109.9</v>
      </c>
      <c r="G8" s="5">
        <v>105.6</v>
      </c>
      <c r="H8" s="5">
        <v>106.2</v>
      </c>
      <c r="I8" s="5">
        <v>105.7</v>
      </c>
      <c r="J8" s="5">
        <v>101.4</v>
      </c>
      <c r="K8" s="5">
        <v>105.7</v>
      </c>
      <c r="L8" s="5">
        <v>105</v>
      </c>
      <c r="M8" s="5">
        <v>103.3</v>
      </c>
      <c r="N8" s="5">
        <v>105.6</v>
      </c>
      <c r="O8" s="5">
        <v>108.2</v>
      </c>
      <c r="P8" s="5">
        <v>106.6</v>
      </c>
      <c r="Q8" s="5">
        <v>106.5</v>
      </c>
      <c r="R8" s="5">
        <v>107.6</v>
      </c>
      <c r="S8" s="5">
        <v>106.8</v>
      </c>
      <c r="T8" s="5">
        <v>107.5</v>
      </c>
      <c r="U8" s="5" t="s">
        <v>32</v>
      </c>
      <c r="V8" s="5">
        <v>106.1</v>
      </c>
      <c r="W8" s="5">
        <v>105.6</v>
      </c>
      <c r="X8" s="5">
        <v>104.7</v>
      </c>
      <c r="Y8" s="5">
        <v>104.6</v>
      </c>
      <c r="Z8" s="5">
        <v>104</v>
      </c>
      <c r="AA8" s="5">
        <v>104.3</v>
      </c>
      <c r="AB8" s="5">
        <v>104.3</v>
      </c>
      <c r="AC8" s="5">
        <v>104.6</v>
      </c>
      <c r="AD8" s="5">
        <v>106</v>
      </c>
    </row>
    <row r="9" spans="1:31" x14ac:dyDescent="0.3">
      <c r="A9" s="6" t="s">
        <v>33</v>
      </c>
      <c r="B9" s="6">
        <v>2013</v>
      </c>
      <c r="C9" s="6" t="s">
        <v>36</v>
      </c>
      <c r="D9" s="6">
        <v>113.9</v>
      </c>
      <c r="E9" s="6">
        <v>111.4</v>
      </c>
      <c r="F9" s="6">
        <v>113.2</v>
      </c>
      <c r="G9" s="6">
        <v>104.3</v>
      </c>
      <c r="H9" s="6">
        <v>102.7</v>
      </c>
      <c r="I9" s="6">
        <v>104.9</v>
      </c>
      <c r="J9" s="6">
        <v>103.8</v>
      </c>
      <c r="K9" s="6">
        <v>103.5</v>
      </c>
      <c r="L9" s="6">
        <v>102.6</v>
      </c>
      <c r="M9" s="6">
        <v>102.4</v>
      </c>
      <c r="N9" s="6">
        <v>107</v>
      </c>
      <c r="O9" s="6">
        <v>109.8</v>
      </c>
      <c r="P9" s="6">
        <v>107.3</v>
      </c>
      <c r="Q9" s="6">
        <v>106.8</v>
      </c>
      <c r="R9" s="6">
        <v>107.2</v>
      </c>
      <c r="S9" s="6">
        <v>106</v>
      </c>
      <c r="T9" s="6">
        <v>107</v>
      </c>
      <c r="U9" s="6">
        <v>100.4</v>
      </c>
      <c r="V9" s="6">
        <v>106</v>
      </c>
      <c r="W9" s="6">
        <v>105.7</v>
      </c>
      <c r="X9" s="6">
        <v>105.2</v>
      </c>
      <c r="Y9" s="6">
        <v>105.5</v>
      </c>
      <c r="Z9" s="6">
        <v>103.5</v>
      </c>
      <c r="AA9" s="6">
        <v>103.8</v>
      </c>
      <c r="AB9" s="6">
        <v>104.2</v>
      </c>
      <c r="AC9" s="6">
        <v>104.9</v>
      </c>
      <c r="AD9" s="6">
        <v>105</v>
      </c>
    </row>
    <row r="10" spans="1:31" x14ac:dyDescent="0.3">
      <c r="A10" s="5" t="s">
        <v>34</v>
      </c>
      <c r="B10" s="5">
        <v>2013</v>
      </c>
      <c r="C10" s="5" t="s">
        <v>36</v>
      </c>
      <c r="D10" s="5">
        <v>111.4</v>
      </c>
      <c r="E10" s="5">
        <v>109.7</v>
      </c>
      <c r="F10" s="5">
        <v>111.2</v>
      </c>
      <c r="G10" s="5">
        <v>105.1</v>
      </c>
      <c r="H10" s="5">
        <v>104.9</v>
      </c>
      <c r="I10" s="5">
        <v>105.3</v>
      </c>
      <c r="J10" s="5">
        <v>102.2</v>
      </c>
      <c r="K10" s="5">
        <v>105</v>
      </c>
      <c r="L10" s="5">
        <v>104.2</v>
      </c>
      <c r="M10" s="5">
        <v>103</v>
      </c>
      <c r="N10" s="5">
        <v>106.2</v>
      </c>
      <c r="O10" s="5">
        <v>108.9</v>
      </c>
      <c r="P10" s="5">
        <v>106.9</v>
      </c>
      <c r="Q10" s="5">
        <v>106.6</v>
      </c>
      <c r="R10" s="5">
        <v>107.4</v>
      </c>
      <c r="S10" s="5">
        <v>106.5</v>
      </c>
      <c r="T10" s="5">
        <v>107.3</v>
      </c>
      <c r="U10" s="5">
        <v>100.4</v>
      </c>
      <c r="V10" s="5">
        <v>106.1</v>
      </c>
      <c r="W10" s="5">
        <v>105.6</v>
      </c>
      <c r="X10" s="5">
        <v>104.9</v>
      </c>
      <c r="Y10" s="5">
        <v>105.1</v>
      </c>
      <c r="Z10" s="5">
        <v>103.7</v>
      </c>
      <c r="AA10" s="5">
        <v>104</v>
      </c>
      <c r="AB10" s="5">
        <v>104.3</v>
      </c>
      <c r="AC10" s="5">
        <v>104.7</v>
      </c>
      <c r="AD10" s="5">
        <v>105.5</v>
      </c>
    </row>
    <row r="11" spans="1:31" x14ac:dyDescent="0.3">
      <c r="A11" s="6" t="s">
        <v>30</v>
      </c>
      <c r="B11" s="6">
        <v>2013</v>
      </c>
      <c r="C11" s="6" t="s">
        <v>37</v>
      </c>
      <c r="D11" s="6">
        <v>110.2</v>
      </c>
      <c r="E11" s="6">
        <v>109.5</v>
      </c>
      <c r="F11" s="6">
        <v>106.9</v>
      </c>
      <c r="G11" s="6">
        <v>106.3</v>
      </c>
      <c r="H11" s="6">
        <v>105.7</v>
      </c>
      <c r="I11" s="6">
        <v>108.3</v>
      </c>
      <c r="J11" s="6">
        <v>103.4</v>
      </c>
      <c r="K11" s="6">
        <v>105.7</v>
      </c>
      <c r="L11" s="6">
        <v>104.2</v>
      </c>
      <c r="M11" s="6">
        <v>103.2</v>
      </c>
      <c r="N11" s="6">
        <v>106.5</v>
      </c>
      <c r="O11" s="6">
        <v>108.8</v>
      </c>
      <c r="P11" s="6">
        <v>107.1</v>
      </c>
      <c r="Q11" s="6">
        <v>107.1</v>
      </c>
      <c r="R11" s="6">
        <v>108.1</v>
      </c>
      <c r="S11" s="6">
        <v>107.4</v>
      </c>
      <c r="T11" s="6">
        <v>108</v>
      </c>
      <c r="U11" s="6" t="s">
        <v>32</v>
      </c>
      <c r="V11" s="6">
        <v>106.5</v>
      </c>
      <c r="W11" s="6">
        <v>106.1</v>
      </c>
      <c r="X11" s="6">
        <v>105.1</v>
      </c>
      <c r="Y11" s="6">
        <v>104.4</v>
      </c>
      <c r="Z11" s="6">
        <v>104.5</v>
      </c>
      <c r="AA11" s="6">
        <v>104.8</v>
      </c>
      <c r="AB11" s="6">
        <v>102.7</v>
      </c>
      <c r="AC11" s="6">
        <v>104.6</v>
      </c>
      <c r="AD11" s="6">
        <v>106.4</v>
      </c>
    </row>
    <row r="12" spans="1:31" x14ac:dyDescent="0.3">
      <c r="A12" s="5" t="s">
        <v>33</v>
      </c>
      <c r="B12" s="5">
        <v>2013</v>
      </c>
      <c r="C12" s="5" t="s">
        <v>37</v>
      </c>
      <c r="D12" s="5">
        <v>114.6</v>
      </c>
      <c r="E12" s="5">
        <v>113.4</v>
      </c>
      <c r="F12" s="5">
        <v>106</v>
      </c>
      <c r="G12" s="5">
        <v>104.7</v>
      </c>
      <c r="H12" s="5">
        <v>102.1</v>
      </c>
      <c r="I12" s="5">
        <v>109.5</v>
      </c>
      <c r="J12" s="5">
        <v>109.7</v>
      </c>
      <c r="K12" s="5">
        <v>104.6</v>
      </c>
      <c r="L12" s="5">
        <v>102</v>
      </c>
      <c r="M12" s="5">
        <v>103.5</v>
      </c>
      <c r="N12" s="5">
        <v>108.2</v>
      </c>
      <c r="O12" s="5">
        <v>110.6</v>
      </c>
      <c r="P12" s="5">
        <v>108.8</v>
      </c>
      <c r="Q12" s="5">
        <v>108.5</v>
      </c>
      <c r="R12" s="5">
        <v>107.9</v>
      </c>
      <c r="S12" s="5">
        <v>106.4</v>
      </c>
      <c r="T12" s="5">
        <v>107.7</v>
      </c>
      <c r="U12" s="5">
        <v>100.5</v>
      </c>
      <c r="V12" s="5">
        <v>106.4</v>
      </c>
      <c r="W12" s="5">
        <v>106.5</v>
      </c>
      <c r="X12" s="5">
        <v>105.7</v>
      </c>
      <c r="Y12" s="5">
        <v>105</v>
      </c>
      <c r="Z12" s="5">
        <v>104</v>
      </c>
      <c r="AA12" s="5">
        <v>105.2</v>
      </c>
      <c r="AB12" s="5">
        <v>103.2</v>
      </c>
      <c r="AC12" s="5">
        <v>105.1</v>
      </c>
      <c r="AD12" s="5">
        <v>105.7</v>
      </c>
    </row>
    <row r="13" spans="1:31" x14ac:dyDescent="0.3">
      <c r="A13" s="6" t="s">
        <v>34</v>
      </c>
      <c r="B13" s="6">
        <v>2013</v>
      </c>
      <c r="C13" s="6" t="s">
        <v>37</v>
      </c>
      <c r="D13" s="6">
        <v>111.6</v>
      </c>
      <c r="E13" s="6">
        <v>110.9</v>
      </c>
      <c r="F13" s="6">
        <v>106.6</v>
      </c>
      <c r="G13" s="6">
        <v>105.7</v>
      </c>
      <c r="H13" s="6">
        <v>104.4</v>
      </c>
      <c r="I13" s="6">
        <v>108.9</v>
      </c>
      <c r="J13" s="6">
        <v>105.5</v>
      </c>
      <c r="K13" s="6">
        <v>105.3</v>
      </c>
      <c r="L13" s="6">
        <v>103.5</v>
      </c>
      <c r="M13" s="6">
        <v>103.3</v>
      </c>
      <c r="N13" s="6">
        <v>107.2</v>
      </c>
      <c r="O13" s="6">
        <v>109.6</v>
      </c>
      <c r="P13" s="6">
        <v>107.7</v>
      </c>
      <c r="Q13" s="6">
        <v>107.5</v>
      </c>
      <c r="R13" s="6">
        <v>108</v>
      </c>
      <c r="S13" s="6">
        <v>107</v>
      </c>
      <c r="T13" s="6">
        <v>107.9</v>
      </c>
      <c r="U13" s="6">
        <v>100.5</v>
      </c>
      <c r="V13" s="6">
        <v>106.5</v>
      </c>
      <c r="W13" s="6">
        <v>106.3</v>
      </c>
      <c r="X13" s="6">
        <v>105.3</v>
      </c>
      <c r="Y13" s="6">
        <v>104.7</v>
      </c>
      <c r="Z13" s="6">
        <v>104.2</v>
      </c>
      <c r="AA13" s="6">
        <v>105</v>
      </c>
      <c r="AB13" s="6">
        <v>102.9</v>
      </c>
      <c r="AC13" s="6">
        <v>104.8</v>
      </c>
      <c r="AD13" s="6">
        <v>106.1</v>
      </c>
    </row>
    <row r="14" spans="1:31" x14ac:dyDescent="0.3">
      <c r="A14" s="5" t="s">
        <v>30</v>
      </c>
      <c r="B14" s="5">
        <v>2013</v>
      </c>
      <c r="C14" s="5" t="s">
        <v>38</v>
      </c>
      <c r="D14" s="5">
        <v>110.9</v>
      </c>
      <c r="E14" s="5">
        <v>109.8</v>
      </c>
      <c r="F14" s="5">
        <v>105.9</v>
      </c>
      <c r="G14" s="5">
        <v>107.5</v>
      </c>
      <c r="H14" s="5">
        <v>105.3</v>
      </c>
      <c r="I14" s="5">
        <v>108.1</v>
      </c>
      <c r="J14" s="5">
        <v>107.3</v>
      </c>
      <c r="K14" s="5">
        <v>106.1</v>
      </c>
      <c r="L14" s="5">
        <v>103.7</v>
      </c>
      <c r="M14" s="5">
        <v>104</v>
      </c>
      <c r="N14" s="5">
        <v>107.4</v>
      </c>
      <c r="O14" s="5">
        <v>109.9</v>
      </c>
      <c r="P14" s="5">
        <v>108.1</v>
      </c>
      <c r="Q14" s="5">
        <v>108.1</v>
      </c>
      <c r="R14" s="5">
        <v>108.8</v>
      </c>
      <c r="S14" s="5">
        <v>107.9</v>
      </c>
      <c r="T14" s="5">
        <v>108.6</v>
      </c>
      <c r="U14" s="5" t="s">
        <v>32</v>
      </c>
      <c r="V14" s="5">
        <v>107.5</v>
      </c>
      <c r="W14" s="5">
        <v>106.8</v>
      </c>
      <c r="X14" s="5">
        <v>105.7</v>
      </c>
      <c r="Y14" s="5">
        <v>104.1</v>
      </c>
      <c r="Z14" s="5">
        <v>105</v>
      </c>
      <c r="AA14" s="5">
        <v>105.5</v>
      </c>
      <c r="AB14" s="5">
        <v>102.1</v>
      </c>
      <c r="AC14" s="5">
        <v>104.8</v>
      </c>
      <c r="AD14" s="5">
        <v>107.2</v>
      </c>
    </row>
    <row r="15" spans="1:31" x14ac:dyDescent="0.3">
      <c r="A15" s="6" t="s">
        <v>33</v>
      </c>
      <c r="B15" s="6">
        <v>2013</v>
      </c>
      <c r="C15" s="6" t="s">
        <v>38</v>
      </c>
      <c r="D15" s="6">
        <v>115.4</v>
      </c>
      <c r="E15" s="6">
        <v>114.2</v>
      </c>
      <c r="F15" s="6">
        <v>102.7</v>
      </c>
      <c r="G15" s="6">
        <v>105.5</v>
      </c>
      <c r="H15" s="6">
        <v>101.5</v>
      </c>
      <c r="I15" s="6">
        <v>110.6</v>
      </c>
      <c r="J15" s="6">
        <v>123.7</v>
      </c>
      <c r="K15" s="6">
        <v>105.2</v>
      </c>
      <c r="L15" s="6">
        <v>101.9</v>
      </c>
      <c r="M15" s="6">
        <v>105</v>
      </c>
      <c r="N15" s="6">
        <v>109.1</v>
      </c>
      <c r="O15" s="6">
        <v>111.3</v>
      </c>
      <c r="P15" s="6">
        <v>111.1</v>
      </c>
      <c r="Q15" s="6">
        <v>109.8</v>
      </c>
      <c r="R15" s="6">
        <v>108.5</v>
      </c>
      <c r="S15" s="6">
        <v>106.7</v>
      </c>
      <c r="T15" s="6">
        <v>108.3</v>
      </c>
      <c r="U15" s="6">
        <v>100.5</v>
      </c>
      <c r="V15" s="6">
        <v>107.2</v>
      </c>
      <c r="W15" s="6">
        <v>107.1</v>
      </c>
      <c r="X15" s="6">
        <v>106.2</v>
      </c>
      <c r="Y15" s="6">
        <v>103.9</v>
      </c>
      <c r="Z15" s="6">
        <v>104.6</v>
      </c>
      <c r="AA15" s="6">
        <v>105.7</v>
      </c>
      <c r="AB15" s="6">
        <v>102.6</v>
      </c>
      <c r="AC15" s="6">
        <v>104.9</v>
      </c>
      <c r="AD15" s="6">
        <v>106.6</v>
      </c>
    </row>
    <row r="16" spans="1:31" x14ac:dyDescent="0.3">
      <c r="A16" s="5" t="s">
        <v>34</v>
      </c>
      <c r="B16" s="5">
        <v>2013</v>
      </c>
      <c r="C16" s="5" t="s">
        <v>38</v>
      </c>
      <c r="D16" s="5">
        <v>112.3</v>
      </c>
      <c r="E16" s="5">
        <v>111.3</v>
      </c>
      <c r="F16" s="5">
        <v>104.7</v>
      </c>
      <c r="G16" s="5">
        <v>106.8</v>
      </c>
      <c r="H16" s="5">
        <v>103.9</v>
      </c>
      <c r="I16" s="5">
        <v>109.3</v>
      </c>
      <c r="J16" s="5">
        <v>112.9</v>
      </c>
      <c r="K16" s="5">
        <v>105.8</v>
      </c>
      <c r="L16" s="5">
        <v>103.1</v>
      </c>
      <c r="M16" s="5">
        <v>104.3</v>
      </c>
      <c r="N16" s="5">
        <v>108.1</v>
      </c>
      <c r="O16" s="5">
        <v>110.5</v>
      </c>
      <c r="P16" s="5">
        <v>109.2</v>
      </c>
      <c r="Q16" s="5">
        <v>108.6</v>
      </c>
      <c r="R16" s="5">
        <v>108.7</v>
      </c>
      <c r="S16" s="5">
        <v>107.4</v>
      </c>
      <c r="T16" s="5">
        <v>108.5</v>
      </c>
      <c r="U16" s="5">
        <v>100.5</v>
      </c>
      <c r="V16" s="5">
        <v>107.4</v>
      </c>
      <c r="W16" s="5">
        <v>106.9</v>
      </c>
      <c r="X16" s="5">
        <v>105.9</v>
      </c>
      <c r="Y16" s="5">
        <v>104</v>
      </c>
      <c r="Z16" s="5">
        <v>104.8</v>
      </c>
      <c r="AA16" s="5">
        <v>105.6</v>
      </c>
      <c r="AB16" s="5">
        <v>102.3</v>
      </c>
      <c r="AC16" s="5">
        <v>104.8</v>
      </c>
      <c r="AD16" s="5">
        <v>106.9</v>
      </c>
    </row>
    <row r="17" spans="1:30" x14ac:dyDescent="0.3">
      <c r="A17" s="6" t="s">
        <v>30</v>
      </c>
      <c r="B17" s="6">
        <v>2013</v>
      </c>
      <c r="C17" s="6" t="s">
        <v>39</v>
      </c>
      <c r="D17" s="6">
        <v>112.3</v>
      </c>
      <c r="E17" s="6">
        <v>112.1</v>
      </c>
      <c r="F17" s="6">
        <v>108.1</v>
      </c>
      <c r="G17" s="6">
        <v>108.3</v>
      </c>
      <c r="H17" s="6">
        <v>105.9</v>
      </c>
      <c r="I17" s="6">
        <v>109.2</v>
      </c>
      <c r="J17" s="6">
        <v>118</v>
      </c>
      <c r="K17" s="6">
        <v>106.8</v>
      </c>
      <c r="L17" s="6">
        <v>104.1</v>
      </c>
      <c r="M17" s="6">
        <v>105.4</v>
      </c>
      <c r="N17" s="6">
        <v>108.2</v>
      </c>
      <c r="O17" s="6">
        <v>111</v>
      </c>
      <c r="P17" s="6">
        <v>110.6</v>
      </c>
      <c r="Q17" s="6">
        <v>109</v>
      </c>
      <c r="R17" s="6">
        <v>109.7</v>
      </c>
      <c r="S17" s="6">
        <v>108.8</v>
      </c>
      <c r="T17" s="6">
        <v>109.5</v>
      </c>
      <c r="U17" s="6" t="s">
        <v>32</v>
      </c>
      <c r="V17" s="6">
        <v>108.5</v>
      </c>
      <c r="W17" s="6">
        <v>107.5</v>
      </c>
      <c r="X17" s="6">
        <v>106.3</v>
      </c>
      <c r="Y17" s="6">
        <v>105</v>
      </c>
      <c r="Z17" s="6">
        <v>105.6</v>
      </c>
      <c r="AA17" s="6">
        <v>106.5</v>
      </c>
      <c r="AB17" s="6">
        <v>102.5</v>
      </c>
      <c r="AC17" s="6">
        <v>105.5</v>
      </c>
      <c r="AD17" s="6">
        <v>108.9</v>
      </c>
    </row>
    <row r="18" spans="1:30" x14ac:dyDescent="0.3">
      <c r="A18" s="5" t="s">
        <v>33</v>
      </c>
      <c r="B18" s="5">
        <v>2013</v>
      </c>
      <c r="C18" s="5" t="s">
        <v>39</v>
      </c>
      <c r="D18" s="5">
        <v>117</v>
      </c>
      <c r="E18" s="5">
        <v>120.1</v>
      </c>
      <c r="F18" s="5">
        <v>112.5</v>
      </c>
      <c r="G18" s="5">
        <v>107.3</v>
      </c>
      <c r="H18" s="5">
        <v>101.3</v>
      </c>
      <c r="I18" s="5">
        <v>112.4</v>
      </c>
      <c r="J18" s="5">
        <v>143.6</v>
      </c>
      <c r="K18" s="5">
        <v>105.4</v>
      </c>
      <c r="L18" s="5">
        <v>101.4</v>
      </c>
      <c r="M18" s="5">
        <v>106.4</v>
      </c>
      <c r="N18" s="5">
        <v>110</v>
      </c>
      <c r="O18" s="5">
        <v>112.2</v>
      </c>
      <c r="P18" s="5">
        <v>115</v>
      </c>
      <c r="Q18" s="5">
        <v>110.9</v>
      </c>
      <c r="R18" s="5">
        <v>109.2</v>
      </c>
      <c r="S18" s="5">
        <v>107.2</v>
      </c>
      <c r="T18" s="5">
        <v>108.9</v>
      </c>
      <c r="U18" s="5">
        <v>106.6</v>
      </c>
      <c r="V18" s="5">
        <v>108</v>
      </c>
      <c r="W18" s="5">
        <v>107.7</v>
      </c>
      <c r="X18" s="5">
        <v>106.5</v>
      </c>
      <c r="Y18" s="5">
        <v>105.2</v>
      </c>
      <c r="Z18" s="5">
        <v>105.2</v>
      </c>
      <c r="AA18" s="5">
        <v>108.1</v>
      </c>
      <c r="AB18" s="5">
        <v>103.3</v>
      </c>
      <c r="AC18" s="5">
        <v>106.1</v>
      </c>
      <c r="AD18" s="5">
        <v>109.7</v>
      </c>
    </row>
    <row r="19" spans="1:30" x14ac:dyDescent="0.3">
      <c r="A19" s="6" t="s">
        <v>34</v>
      </c>
      <c r="B19" s="6">
        <v>2013</v>
      </c>
      <c r="C19" s="6" t="s">
        <v>39</v>
      </c>
      <c r="D19" s="6">
        <v>113.8</v>
      </c>
      <c r="E19" s="6">
        <v>114.9</v>
      </c>
      <c r="F19" s="6">
        <v>109.8</v>
      </c>
      <c r="G19" s="6">
        <v>107.9</v>
      </c>
      <c r="H19" s="6">
        <v>104.2</v>
      </c>
      <c r="I19" s="6">
        <v>110.7</v>
      </c>
      <c r="J19" s="6">
        <v>126.7</v>
      </c>
      <c r="K19" s="6">
        <v>106.3</v>
      </c>
      <c r="L19" s="6">
        <v>103.2</v>
      </c>
      <c r="M19" s="6">
        <v>105.7</v>
      </c>
      <c r="N19" s="6">
        <v>109</v>
      </c>
      <c r="O19" s="6">
        <v>111.6</v>
      </c>
      <c r="P19" s="6">
        <v>112.2</v>
      </c>
      <c r="Q19" s="6">
        <v>109.5</v>
      </c>
      <c r="R19" s="6">
        <v>109.5</v>
      </c>
      <c r="S19" s="6">
        <v>108.1</v>
      </c>
      <c r="T19" s="6">
        <v>109.3</v>
      </c>
      <c r="U19" s="6">
        <v>106.6</v>
      </c>
      <c r="V19" s="6">
        <v>108.3</v>
      </c>
      <c r="W19" s="6">
        <v>107.6</v>
      </c>
      <c r="X19" s="6">
        <v>106.4</v>
      </c>
      <c r="Y19" s="6">
        <v>105.1</v>
      </c>
      <c r="Z19" s="6">
        <v>105.4</v>
      </c>
      <c r="AA19" s="6">
        <v>107.4</v>
      </c>
      <c r="AB19" s="6">
        <v>102.8</v>
      </c>
      <c r="AC19" s="6">
        <v>105.8</v>
      </c>
      <c r="AD19" s="6">
        <v>109.3</v>
      </c>
    </row>
    <row r="20" spans="1:30" x14ac:dyDescent="0.3">
      <c r="A20" s="5" t="s">
        <v>30</v>
      </c>
      <c r="B20" s="5">
        <v>2013</v>
      </c>
      <c r="C20" s="5" t="s">
        <v>40</v>
      </c>
      <c r="D20" s="5">
        <v>113.4</v>
      </c>
      <c r="E20" s="5">
        <v>114.9</v>
      </c>
      <c r="F20" s="5">
        <v>110.5</v>
      </c>
      <c r="G20" s="5">
        <v>109.3</v>
      </c>
      <c r="H20" s="5">
        <v>106.2</v>
      </c>
      <c r="I20" s="5">
        <v>110.3</v>
      </c>
      <c r="J20" s="5">
        <v>129.19999999999999</v>
      </c>
      <c r="K20" s="5">
        <v>107.1</v>
      </c>
      <c r="L20" s="5">
        <v>104.3</v>
      </c>
      <c r="M20" s="5">
        <v>106.4</v>
      </c>
      <c r="N20" s="5">
        <v>109.1</v>
      </c>
      <c r="O20" s="5">
        <v>112.1</v>
      </c>
      <c r="P20" s="5">
        <v>113.1</v>
      </c>
      <c r="Q20" s="5">
        <v>109.8</v>
      </c>
      <c r="R20" s="5">
        <v>110.5</v>
      </c>
      <c r="S20" s="5">
        <v>109.5</v>
      </c>
      <c r="T20" s="5">
        <v>110.3</v>
      </c>
      <c r="U20" s="5" t="s">
        <v>32</v>
      </c>
      <c r="V20" s="5">
        <v>109.5</v>
      </c>
      <c r="W20" s="5">
        <v>108.3</v>
      </c>
      <c r="X20" s="5">
        <v>106.9</v>
      </c>
      <c r="Y20" s="5">
        <v>106.8</v>
      </c>
      <c r="Z20" s="5">
        <v>106.4</v>
      </c>
      <c r="AA20" s="5">
        <v>107.8</v>
      </c>
      <c r="AB20" s="5">
        <v>102.5</v>
      </c>
      <c r="AC20" s="5">
        <v>106.5</v>
      </c>
      <c r="AD20" s="5">
        <v>110.7</v>
      </c>
    </row>
    <row r="21" spans="1:30" x14ac:dyDescent="0.3">
      <c r="A21" s="6" t="s">
        <v>33</v>
      </c>
      <c r="B21" s="6">
        <v>2013</v>
      </c>
      <c r="C21" s="6" t="s">
        <v>40</v>
      </c>
      <c r="D21" s="6">
        <v>117.8</v>
      </c>
      <c r="E21" s="6">
        <v>119.2</v>
      </c>
      <c r="F21" s="6">
        <v>114</v>
      </c>
      <c r="G21" s="6">
        <v>108.3</v>
      </c>
      <c r="H21" s="6">
        <v>101.1</v>
      </c>
      <c r="I21" s="6">
        <v>113.2</v>
      </c>
      <c r="J21" s="6">
        <v>160.9</v>
      </c>
      <c r="K21" s="6">
        <v>105.1</v>
      </c>
      <c r="L21" s="6">
        <v>101.3</v>
      </c>
      <c r="M21" s="6">
        <v>107.5</v>
      </c>
      <c r="N21" s="6">
        <v>110.4</v>
      </c>
      <c r="O21" s="6">
        <v>113.1</v>
      </c>
      <c r="P21" s="6">
        <v>117.5</v>
      </c>
      <c r="Q21" s="6">
        <v>111.7</v>
      </c>
      <c r="R21" s="6">
        <v>109.8</v>
      </c>
      <c r="S21" s="6">
        <v>107.8</v>
      </c>
      <c r="T21" s="6">
        <v>109.5</v>
      </c>
      <c r="U21" s="6">
        <v>107.7</v>
      </c>
      <c r="V21" s="6">
        <v>108.6</v>
      </c>
      <c r="W21" s="6">
        <v>108.1</v>
      </c>
      <c r="X21" s="6">
        <v>107.1</v>
      </c>
      <c r="Y21" s="6">
        <v>107.3</v>
      </c>
      <c r="Z21" s="6">
        <v>105.9</v>
      </c>
      <c r="AA21" s="6">
        <v>110.1</v>
      </c>
      <c r="AB21" s="6">
        <v>103.2</v>
      </c>
      <c r="AC21" s="6">
        <v>107.3</v>
      </c>
      <c r="AD21" s="6">
        <v>111.4</v>
      </c>
    </row>
    <row r="22" spans="1:30" x14ac:dyDescent="0.3">
      <c r="A22" s="5" t="s">
        <v>34</v>
      </c>
      <c r="B22" s="5">
        <v>2013</v>
      </c>
      <c r="C22" s="5" t="s">
        <v>40</v>
      </c>
      <c r="D22" s="5">
        <v>114.8</v>
      </c>
      <c r="E22" s="5">
        <v>116.4</v>
      </c>
      <c r="F22" s="5">
        <v>111.9</v>
      </c>
      <c r="G22" s="5">
        <v>108.9</v>
      </c>
      <c r="H22" s="5">
        <v>104.3</v>
      </c>
      <c r="I22" s="5">
        <v>111.7</v>
      </c>
      <c r="J22" s="5">
        <v>140</v>
      </c>
      <c r="K22" s="5">
        <v>106.4</v>
      </c>
      <c r="L22" s="5">
        <v>103.3</v>
      </c>
      <c r="M22" s="5">
        <v>106.8</v>
      </c>
      <c r="N22" s="5">
        <v>109.6</v>
      </c>
      <c r="O22" s="5">
        <v>112.6</v>
      </c>
      <c r="P22" s="5">
        <v>114.7</v>
      </c>
      <c r="Q22" s="5">
        <v>110.3</v>
      </c>
      <c r="R22" s="5">
        <v>110.2</v>
      </c>
      <c r="S22" s="5">
        <v>108.8</v>
      </c>
      <c r="T22" s="5">
        <v>110</v>
      </c>
      <c r="U22" s="5">
        <v>107.7</v>
      </c>
      <c r="V22" s="5">
        <v>109.2</v>
      </c>
      <c r="W22" s="5">
        <v>108.2</v>
      </c>
      <c r="X22" s="5">
        <v>107</v>
      </c>
      <c r="Y22" s="5">
        <v>107.1</v>
      </c>
      <c r="Z22" s="5">
        <v>106.1</v>
      </c>
      <c r="AA22" s="5">
        <v>109.1</v>
      </c>
      <c r="AB22" s="5">
        <v>102.8</v>
      </c>
      <c r="AC22" s="5">
        <v>106.9</v>
      </c>
      <c r="AD22" s="5">
        <v>111</v>
      </c>
    </row>
    <row r="23" spans="1:30" x14ac:dyDescent="0.3">
      <c r="A23" s="6" t="s">
        <v>30</v>
      </c>
      <c r="B23" s="6">
        <v>2013</v>
      </c>
      <c r="C23" s="6" t="s">
        <v>41</v>
      </c>
      <c r="D23" s="6">
        <v>114.3</v>
      </c>
      <c r="E23" s="6">
        <v>115.4</v>
      </c>
      <c r="F23" s="6">
        <v>111.1</v>
      </c>
      <c r="G23" s="6">
        <v>110</v>
      </c>
      <c r="H23" s="6">
        <v>106.4</v>
      </c>
      <c r="I23" s="6">
        <v>110.8</v>
      </c>
      <c r="J23" s="6">
        <v>138.9</v>
      </c>
      <c r="K23" s="6">
        <v>107.4</v>
      </c>
      <c r="L23" s="6">
        <v>104.1</v>
      </c>
      <c r="M23" s="6">
        <v>106.9</v>
      </c>
      <c r="N23" s="6">
        <v>109.7</v>
      </c>
      <c r="O23" s="6">
        <v>112.6</v>
      </c>
      <c r="P23" s="6">
        <v>114.9</v>
      </c>
      <c r="Q23" s="6">
        <v>110.7</v>
      </c>
      <c r="R23" s="6">
        <v>111.3</v>
      </c>
      <c r="S23" s="6">
        <v>110.2</v>
      </c>
      <c r="T23" s="6">
        <v>111.1</v>
      </c>
      <c r="U23" s="6" t="s">
        <v>32</v>
      </c>
      <c r="V23" s="6">
        <v>109.9</v>
      </c>
      <c r="W23" s="6">
        <v>108.7</v>
      </c>
      <c r="X23" s="6">
        <v>107.5</v>
      </c>
      <c r="Y23" s="6">
        <v>107.8</v>
      </c>
      <c r="Z23" s="6">
        <v>106.8</v>
      </c>
      <c r="AA23" s="6">
        <v>108.7</v>
      </c>
      <c r="AB23" s="6">
        <v>105</v>
      </c>
      <c r="AC23" s="6">
        <v>107.5</v>
      </c>
      <c r="AD23" s="6">
        <v>112.1</v>
      </c>
    </row>
    <row r="24" spans="1:30" x14ac:dyDescent="0.3">
      <c r="A24" s="5" t="s">
        <v>33</v>
      </c>
      <c r="B24" s="5">
        <v>2013</v>
      </c>
      <c r="C24" s="5" t="s">
        <v>41</v>
      </c>
      <c r="D24" s="5">
        <v>118.3</v>
      </c>
      <c r="E24" s="5">
        <v>120.4</v>
      </c>
      <c r="F24" s="5">
        <v>112.7</v>
      </c>
      <c r="G24" s="5">
        <v>108.9</v>
      </c>
      <c r="H24" s="5">
        <v>101.1</v>
      </c>
      <c r="I24" s="5">
        <v>108.7</v>
      </c>
      <c r="J24" s="5">
        <v>177</v>
      </c>
      <c r="K24" s="5">
        <v>104.7</v>
      </c>
      <c r="L24" s="5">
        <v>101</v>
      </c>
      <c r="M24" s="5">
        <v>108.5</v>
      </c>
      <c r="N24" s="5">
        <v>110.9</v>
      </c>
      <c r="O24" s="5">
        <v>114.3</v>
      </c>
      <c r="P24" s="5">
        <v>119.6</v>
      </c>
      <c r="Q24" s="5">
        <v>112.4</v>
      </c>
      <c r="R24" s="5">
        <v>110.6</v>
      </c>
      <c r="S24" s="5">
        <v>108.3</v>
      </c>
      <c r="T24" s="5">
        <v>110.2</v>
      </c>
      <c r="U24" s="5">
        <v>108.9</v>
      </c>
      <c r="V24" s="5">
        <v>109.3</v>
      </c>
      <c r="W24" s="5">
        <v>108.7</v>
      </c>
      <c r="X24" s="5">
        <v>107.6</v>
      </c>
      <c r="Y24" s="5">
        <v>108.1</v>
      </c>
      <c r="Z24" s="5">
        <v>106.5</v>
      </c>
      <c r="AA24" s="5">
        <v>110.8</v>
      </c>
      <c r="AB24" s="5">
        <v>106</v>
      </c>
      <c r="AC24" s="5">
        <v>108.3</v>
      </c>
      <c r="AD24" s="5">
        <v>112.7</v>
      </c>
    </row>
    <row r="25" spans="1:30" x14ac:dyDescent="0.3">
      <c r="A25" s="6" t="s">
        <v>34</v>
      </c>
      <c r="B25" s="6">
        <v>2013</v>
      </c>
      <c r="C25" s="6" t="s">
        <v>41</v>
      </c>
      <c r="D25" s="6">
        <v>115.6</v>
      </c>
      <c r="E25" s="6">
        <v>117.2</v>
      </c>
      <c r="F25" s="6">
        <v>111.7</v>
      </c>
      <c r="G25" s="6">
        <v>109.6</v>
      </c>
      <c r="H25" s="6">
        <v>104.5</v>
      </c>
      <c r="I25" s="6">
        <v>109.8</v>
      </c>
      <c r="J25" s="6">
        <v>151.80000000000001</v>
      </c>
      <c r="K25" s="6">
        <v>106.5</v>
      </c>
      <c r="L25" s="6">
        <v>103.1</v>
      </c>
      <c r="M25" s="6">
        <v>107.4</v>
      </c>
      <c r="N25" s="6">
        <v>110.2</v>
      </c>
      <c r="O25" s="6">
        <v>113.4</v>
      </c>
      <c r="P25" s="6">
        <v>116.6</v>
      </c>
      <c r="Q25" s="6">
        <v>111.2</v>
      </c>
      <c r="R25" s="6">
        <v>111</v>
      </c>
      <c r="S25" s="6">
        <v>109.4</v>
      </c>
      <c r="T25" s="6">
        <v>110.7</v>
      </c>
      <c r="U25" s="6">
        <v>108.9</v>
      </c>
      <c r="V25" s="6">
        <v>109.7</v>
      </c>
      <c r="W25" s="6">
        <v>108.7</v>
      </c>
      <c r="X25" s="6">
        <v>107.5</v>
      </c>
      <c r="Y25" s="6">
        <v>108</v>
      </c>
      <c r="Z25" s="6">
        <v>106.6</v>
      </c>
      <c r="AA25" s="6">
        <v>109.9</v>
      </c>
      <c r="AB25" s="6">
        <v>105.4</v>
      </c>
      <c r="AC25" s="6">
        <v>107.9</v>
      </c>
      <c r="AD25" s="6">
        <v>112.4</v>
      </c>
    </row>
    <row r="26" spans="1:30" x14ac:dyDescent="0.3">
      <c r="A26" s="5" t="s">
        <v>30</v>
      </c>
      <c r="B26" s="5">
        <v>2013</v>
      </c>
      <c r="C26" s="5" t="s">
        <v>42</v>
      </c>
      <c r="D26" s="5">
        <v>115.4</v>
      </c>
      <c r="E26" s="5">
        <v>115.7</v>
      </c>
      <c r="F26" s="5">
        <v>111.7</v>
      </c>
      <c r="G26" s="5">
        <v>111</v>
      </c>
      <c r="H26" s="5">
        <v>107.4</v>
      </c>
      <c r="I26" s="5">
        <v>110.9</v>
      </c>
      <c r="J26" s="5">
        <v>154</v>
      </c>
      <c r="K26" s="5">
        <v>108.1</v>
      </c>
      <c r="L26" s="5">
        <v>104.2</v>
      </c>
      <c r="M26" s="5">
        <v>107.9</v>
      </c>
      <c r="N26" s="5">
        <v>110.4</v>
      </c>
      <c r="O26" s="5">
        <v>114</v>
      </c>
      <c r="P26" s="5">
        <v>117.8</v>
      </c>
      <c r="Q26" s="5">
        <v>111.7</v>
      </c>
      <c r="R26" s="5">
        <v>112.7</v>
      </c>
      <c r="S26" s="5">
        <v>111.4</v>
      </c>
      <c r="T26" s="5">
        <v>112.5</v>
      </c>
      <c r="U26" s="5" t="s">
        <v>32</v>
      </c>
      <c r="V26" s="5">
        <v>111.1</v>
      </c>
      <c r="W26" s="5">
        <v>109.6</v>
      </c>
      <c r="X26" s="5">
        <v>108.3</v>
      </c>
      <c r="Y26" s="5">
        <v>109.3</v>
      </c>
      <c r="Z26" s="5">
        <v>107.7</v>
      </c>
      <c r="AA26" s="5">
        <v>109.8</v>
      </c>
      <c r="AB26" s="5">
        <v>106.7</v>
      </c>
      <c r="AC26" s="5">
        <v>108.7</v>
      </c>
      <c r="AD26" s="5">
        <v>114.2</v>
      </c>
    </row>
    <row r="27" spans="1:30" x14ac:dyDescent="0.3">
      <c r="A27" s="6" t="s">
        <v>33</v>
      </c>
      <c r="B27" s="6">
        <v>2013</v>
      </c>
      <c r="C27" s="6" t="s">
        <v>42</v>
      </c>
      <c r="D27" s="6">
        <v>118.6</v>
      </c>
      <c r="E27" s="6">
        <v>119.1</v>
      </c>
      <c r="F27" s="6">
        <v>113.2</v>
      </c>
      <c r="G27" s="6">
        <v>109.6</v>
      </c>
      <c r="H27" s="6">
        <v>101.7</v>
      </c>
      <c r="I27" s="6">
        <v>103.2</v>
      </c>
      <c r="J27" s="6">
        <v>174.3</v>
      </c>
      <c r="K27" s="6">
        <v>105.1</v>
      </c>
      <c r="L27" s="6">
        <v>100.8</v>
      </c>
      <c r="M27" s="6">
        <v>109.1</v>
      </c>
      <c r="N27" s="6">
        <v>111.1</v>
      </c>
      <c r="O27" s="6">
        <v>115.4</v>
      </c>
      <c r="P27" s="6">
        <v>119.2</v>
      </c>
      <c r="Q27" s="6">
        <v>112.9</v>
      </c>
      <c r="R27" s="6">
        <v>111.4</v>
      </c>
      <c r="S27" s="6">
        <v>109</v>
      </c>
      <c r="T27" s="6">
        <v>111.1</v>
      </c>
      <c r="U27" s="6">
        <v>109.7</v>
      </c>
      <c r="V27" s="6">
        <v>109.5</v>
      </c>
      <c r="W27" s="6">
        <v>109.6</v>
      </c>
      <c r="X27" s="6">
        <v>107.9</v>
      </c>
      <c r="Y27" s="6">
        <v>110.4</v>
      </c>
      <c r="Z27" s="6">
        <v>107.4</v>
      </c>
      <c r="AA27" s="6">
        <v>111.2</v>
      </c>
      <c r="AB27" s="6">
        <v>106.9</v>
      </c>
      <c r="AC27" s="6">
        <v>109.4</v>
      </c>
      <c r="AD27" s="6">
        <v>113.2</v>
      </c>
    </row>
    <row r="28" spans="1:30" x14ac:dyDescent="0.3">
      <c r="A28" s="5" t="s">
        <v>34</v>
      </c>
      <c r="B28" s="5">
        <v>2013</v>
      </c>
      <c r="C28" s="5" t="s">
        <v>42</v>
      </c>
      <c r="D28" s="5">
        <v>116.4</v>
      </c>
      <c r="E28" s="5">
        <v>116.9</v>
      </c>
      <c r="F28" s="5">
        <v>112.3</v>
      </c>
      <c r="G28" s="5">
        <v>110.5</v>
      </c>
      <c r="H28" s="5">
        <v>105.3</v>
      </c>
      <c r="I28" s="5">
        <v>107.3</v>
      </c>
      <c r="J28" s="5">
        <v>160.9</v>
      </c>
      <c r="K28" s="5">
        <v>107.1</v>
      </c>
      <c r="L28" s="5">
        <v>103.1</v>
      </c>
      <c r="M28" s="5">
        <v>108.3</v>
      </c>
      <c r="N28" s="5">
        <v>110.7</v>
      </c>
      <c r="O28" s="5">
        <v>114.6</v>
      </c>
      <c r="P28" s="5">
        <v>118.3</v>
      </c>
      <c r="Q28" s="5">
        <v>112</v>
      </c>
      <c r="R28" s="5">
        <v>112.2</v>
      </c>
      <c r="S28" s="5">
        <v>110.4</v>
      </c>
      <c r="T28" s="5">
        <v>111.9</v>
      </c>
      <c r="U28" s="5">
        <v>109.7</v>
      </c>
      <c r="V28" s="5">
        <v>110.5</v>
      </c>
      <c r="W28" s="5">
        <v>109.6</v>
      </c>
      <c r="X28" s="5">
        <v>108.1</v>
      </c>
      <c r="Y28" s="5">
        <v>109.9</v>
      </c>
      <c r="Z28" s="5">
        <v>107.5</v>
      </c>
      <c r="AA28" s="5">
        <v>110.6</v>
      </c>
      <c r="AB28" s="5">
        <v>106.8</v>
      </c>
      <c r="AC28" s="5">
        <v>109</v>
      </c>
      <c r="AD28" s="5">
        <v>113.7</v>
      </c>
    </row>
    <row r="29" spans="1:30" x14ac:dyDescent="0.3">
      <c r="A29" s="6" t="s">
        <v>30</v>
      </c>
      <c r="B29" s="6">
        <v>2013</v>
      </c>
      <c r="C29" s="6" t="s">
        <v>43</v>
      </c>
      <c r="D29" s="6">
        <v>116.3</v>
      </c>
      <c r="E29" s="6">
        <v>115.4</v>
      </c>
      <c r="F29" s="6">
        <v>112.6</v>
      </c>
      <c r="G29" s="6">
        <v>111.7</v>
      </c>
      <c r="H29" s="6">
        <v>107.7</v>
      </c>
      <c r="I29" s="6">
        <v>113.2</v>
      </c>
      <c r="J29" s="6">
        <v>164.9</v>
      </c>
      <c r="K29" s="6">
        <v>108.3</v>
      </c>
      <c r="L29" s="6">
        <v>103.9</v>
      </c>
      <c r="M29" s="6">
        <v>108.2</v>
      </c>
      <c r="N29" s="6">
        <v>111.1</v>
      </c>
      <c r="O29" s="6">
        <v>114.9</v>
      </c>
      <c r="P29" s="6">
        <v>119.8</v>
      </c>
      <c r="Q29" s="6">
        <v>112.2</v>
      </c>
      <c r="R29" s="6">
        <v>113.6</v>
      </c>
      <c r="S29" s="6">
        <v>112.3</v>
      </c>
      <c r="T29" s="6">
        <v>113.4</v>
      </c>
      <c r="U29" s="6" t="s">
        <v>32</v>
      </c>
      <c r="V29" s="6">
        <v>111.6</v>
      </c>
      <c r="W29" s="6">
        <v>110.4</v>
      </c>
      <c r="X29" s="6">
        <v>108.9</v>
      </c>
      <c r="Y29" s="6">
        <v>109.3</v>
      </c>
      <c r="Z29" s="6">
        <v>108.3</v>
      </c>
      <c r="AA29" s="6">
        <v>110.2</v>
      </c>
      <c r="AB29" s="6">
        <v>107.5</v>
      </c>
      <c r="AC29" s="6">
        <v>109.1</v>
      </c>
      <c r="AD29" s="6">
        <v>115.5</v>
      </c>
    </row>
    <row r="30" spans="1:30" x14ac:dyDescent="0.3">
      <c r="A30" s="5" t="s">
        <v>33</v>
      </c>
      <c r="B30" s="5">
        <v>2013</v>
      </c>
      <c r="C30" s="5" t="s">
        <v>43</v>
      </c>
      <c r="D30" s="5">
        <v>118.9</v>
      </c>
      <c r="E30" s="5">
        <v>118.1</v>
      </c>
      <c r="F30" s="5">
        <v>114.5</v>
      </c>
      <c r="G30" s="5">
        <v>110.4</v>
      </c>
      <c r="H30" s="5">
        <v>102.3</v>
      </c>
      <c r="I30" s="5">
        <v>106.2</v>
      </c>
      <c r="J30" s="5">
        <v>183.5</v>
      </c>
      <c r="K30" s="5">
        <v>105.3</v>
      </c>
      <c r="L30" s="5">
        <v>100.2</v>
      </c>
      <c r="M30" s="5">
        <v>109.6</v>
      </c>
      <c r="N30" s="5">
        <v>111.4</v>
      </c>
      <c r="O30" s="5">
        <v>116</v>
      </c>
      <c r="P30" s="5">
        <v>120.8</v>
      </c>
      <c r="Q30" s="5">
        <v>113.5</v>
      </c>
      <c r="R30" s="5">
        <v>112.5</v>
      </c>
      <c r="S30" s="5">
        <v>109.7</v>
      </c>
      <c r="T30" s="5">
        <v>112</v>
      </c>
      <c r="U30" s="5">
        <v>110.5</v>
      </c>
      <c r="V30" s="5">
        <v>109.7</v>
      </c>
      <c r="W30" s="5">
        <v>110.2</v>
      </c>
      <c r="X30" s="5">
        <v>108.2</v>
      </c>
      <c r="Y30" s="5">
        <v>109.7</v>
      </c>
      <c r="Z30" s="5">
        <v>108</v>
      </c>
      <c r="AA30" s="5">
        <v>111.3</v>
      </c>
      <c r="AB30" s="5">
        <v>107.3</v>
      </c>
      <c r="AC30" s="5">
        <v>109.4</v>
      </c>
      <c r="AD30" s="5">
        <v>114</v>
      </c>
    </row>
    <row r="31" spans="1:30" x14ac:dyDescent="0.3">
      <c r="A31" s="6" t="s">
        <v>34</v>
      </c>
      <c r="B31" s="6">
        <v>2013</v>
      </c>
      <c r="C31" s="6" t="s">
        <v>43</v>
      </c>
      <c r="D31" s="6">
        <v>117.1</v>
      </c>
      <c r="E31" s="6">
        <v>116.3</v>
      </c>
      <c r="F31" s="6">
        <v>113.3</v>
      </c>
      <c r="G31" s="6">
        <v>111.2</v>
      </c>
      <c r="H31" s="6">
        <v>105.7</v>
      </c>
      <c r="I31" s="6">
        <v>109.9</v>
      </c>
      <c r="J31" s="6">
        <v>171.2</v>
      </c>
      <c r="K31" s="6">
        <v>107.3</v>
      </c>
      <c r="L31" s="6">
        <v>102.7</v>
      </c>
      <c r="M31" s="6">
        <v>108.7</v>
      </c>
      <c r="N31" s="6">
        <v>111.2</v>
      </c>
      <c r="O31" s="6">
        <v>115.4</v>
      </c>
      <c r="P31" s="6">
        <v>120.2</v>
      </c>
      <c r="Q31" s="6">
        <v>112.5</v>
      </c>
      <c r="R31" s="6">
        <v>113.2</v>
      </c>
      <c r="S31" s="6">
        <v>111.2</v>
      </c>
      <c r="T31" s="6">
        <v>112.8</v>
      </c>
      <c r="U31" s="6">
        <v>110.5</v>
      </c>
      <c r="V31" s="6">
        <v>110.9</v>
      </c>
      <c r="W31" s="6">
        <v>110.3</v>
      </c>
      <c r="X31" s="6">
        <v>108.6</v>
      </c>
      <c r="Y31" s="6">
        <v>109.5</v>
      </c>
      <c r="Z31" s="6">
        <v>108.1</v>
      </c>
      <c r="AA31" s="6">
        <v>110.8</v>
      </c>
      <c r="AB31" s="6">
        <v>107.4</v>
      </c>
      <c r="AC31" s="6">
        <v>109.2</v>
      </c>
      <c r="AD31" s="6">
        <v>114.8</v>
      </c>
    </row>
    <row r="32" spans="1:30" x14ac:dyDescent="0.3">
      <c r="A32" s="5" t="s">
        <v>30</v>
      </c>
      <c r="B32" s="5">
        <v>2013</v>
      </c>
      <c r="C32" s="5" t="s">
        <v>44</v>
      </c>
      <c r="D32" s="5">
        <v>117.3</v>
      </c>
      <c r="E32" s="5">
        <v>114.9</v>
      </c>
      <c r="F32" s="5">
        <v>116.2</v>
      </c>
      <c r="G32" s="5">
        <v>112.8</v>
      </c>
      <c r="H32" s="5">
        <v>108.9</v>
      </c>
      <c r="I32" s="5">
        <v>116.6</v>
      </c>
      <c r="J32" s="5">
        <v>178.1</v>
      </c>
      <c r="K32" s="5">
        <v>109.1</v>
      </c>
      <c r="L32" s="5">
        <v>103.6</v>
      </c>
      <c r="M32" s="5">
        <v>109</v>
      </c>
      <c r="N32" s="5">
        <v>111.8</v>
      </c>
      <c r="O32" s="5">
        <v>116</v>
      </c>
      <c r="P32" s="5">
        <v>122.5</v>
      </c>
      <c r="Q32" s="5">
        <v>112.8</v>
      </c>
      <c r="R32" s="5">
        <v>114.6</v>
      </c>
      <c r="S32" s="5">
        <v>113.1</v>
      </c>
      <c r="T32" s="5">
        <v>114.4</v>
      </c>
      <c r="U32" s="5" t="s">
        <v>32</v>
      </c>
      <c r="V32" s="5">
        <v>112.6</v>
      </c>
      <c r="W32" s="5">
        <v>111.3</v>
      </c>
      <c r="X32" s="5">
        <v>109.7</v>
      </c>
      <c r="Y32" s="5">
        <v>109.6</v>
      </c>
      <c r="Z32" s="5">
        <v>108.7</v>
      </c>
      <c r="AA32" s="5">
        <v>111</v>
      </c>
      <c r="AB32" s="5">
        <v>108.2</v>
      </c>
      <c r="AC32" s="5">
        <v>109.8</v>
      </c>
      <c r="AD32" s="5">
        <v>117.4</v>
      </c>
    </row>
    <row r="33" spans="1:30" x14ac:dyDescent="0.3">
      <c r="A33" s="6" t="s">
        <v>33</v>
      </c>
      <c r="B33" s="6">
        <v>2013</v>
      </c>
      <c r="C33" s="6" t="s">
        <v>45</v>
      </c>
      <c r="D33" s="6">
        <v>119.8</v>
      </c>
      <c r="E33" s="6">
        <v>116.3</v>
      </c>
      <c r="F33" s="6">
        <v>122.6</v>
      </c>
      <c r="G33" s="6">
        <v>112</v>
      </c>
      <c r="H33" s="6">
        <v>103.2</v>
      </c>
      <c r="I33" s="6">
        <v>110</v>
      </c>
      <c r="J33" s="6">
        <v>192.8</v>
      </c>
      <c r="K33" s="6">
        <v>106.3</v>
      </c>
      <c r="L33" s="6">
        <v>99.5</v>
      </c>
      <c r="M33" s="6">
        <v>110.3</v>
      </c>
      <c r="N33" s="6">
        <v>111.8</v>
      </c>
      <c r="O33" s="6">
        <v>117.1</v>
      </c>
      <c r="P33" s="6">
        <v>122.9</v>
      </c>
      <c r="Q33" s="6">
        <v>114.1</v>
      </c>
      <c r="R33" s="6">
        <v>113.5</v>
      </c>
      <c r="S33" s="6">
        <v>110.3</v>
      </c>
      <c r="T33" s="6">
        <v>113</v>
      </c>
      <c r="U33" s="6">
        <v>111.1</v>
      </c>
      <c r="V33" s="6">
        <v>110</v>
      </c>
      <c r="W33" s="6">
        <v>110.9</v>
      </c>
      <c r="X33" s="6">
        <v>108.6</v>
      </c>
      <c r="Y33" s="6">
        <v>109.5</v>
      </c>
      <c r="Z33" s="6">
        <v>108.5</v>
      </c>
      <c r="AA33" s="6">
        <v>111.3</v>
      </c>
      <c r="AB33" s="6">
        <v>107.9</v>
      </c>
      <c r="AC33" s="6">
        <v>109.6</v>
      </c>
      <c r="AD33" s="6">
        <v>115</v>
      </c>
    </row>
    <row r="34" spans="1:30" x14ac:dyDescent="0.3">
      <c r="A34" s="5" t="s">
        <v>34</v>
      </c>
      <c r="B34" s="5">
        <v>2013</v>
      </c>
      <c r="C34" s="5" t="s">
        <v>45</v>
      </c>
      <c r="D34" s="5">
        <v>118.1</v>
      </c>
      <c r="E34" s="5">
        <v>115.4</v>
      </c>
      <c r="F34" s="5">
        <v>118.7</v>
      </c>
      <c r="G34" s="5">
        <v>112.5</v>
      </c>
      <c r="H34" s="5">
        <v>106.8</v>
      </c>
      <c r="I34" s="5">
        <v>113.5</v>
      </c>
      <c r="J34" s="5">
        <v>183.1</v>
      </c>
      <c r="K34" s="5">
        <v>108.2</v>
      </c>
      <c r="L34" s="5">
        <v>102.2</v>
      </c>
      <c r="M34" s="5">
        <v>109.4</v>
      </c>
      <c r="N34" s="5">
        <v>111.8</v>
      </c>
      <c r="O34" s="5">
        <v>116.5</v>
      </c>
      <c r="P34" s="5">
        <v>122.6</v>
      </c>
      <c r="Q34" s="5">
        <v>113.1</v>
      </c>
      <c r="R34" s="5">
        <v>114.2</v>
      </c>
      <c r="S34" s="5">
        <v>111.9</v>
      </c>
      <c r="T34" s="5">
        <v>113.8</v>
      </c>
      <c r="U34" s="5">
        <v>111.1</v>
      </c>
      <c r="V34" s="5">
        <v>111.6</v>
      </c>
      <c r="W34" s="5">
        <v>111.1</v>
      </c>
      <c r="X34" s="5">
        <v>109.3</v>
      </c>
      <c r="Y34" s="5">
        <v>109.5</v>
      </c>
      <c r="Z34" s="5">
        <v>108.6</v>
      </c>
      <c r="AA34" s="5">
        <v>111.2</v>
      </c>
      <c r="AB34" s="5">
        <v>108.1</v>
      </c>
      <c r="AC34" s="5">
        <v>109.7</v>
      </c>
      <c r="AD34" s="5">
        <v>116.3</v>
      </c>
    </row>
    <row r="35" spans="1:30" x14ac:dyDescent="0.3">
      <c r="A35" s="6" t="s">
        <v>30</v>
      </c>
      <c r="B35" s="6">
        <v>2013</v>
      </c>
      <c r="C35" s="6" t="s">
        <v>46</v>
      </c>
      <c r="D35" s="6">
        <v>118.4</v>
      </c>
      <c r="E35" s="6">
        <v>115.9</v>
      </c>
      <c r="F35" s="6">
        <v>120.4</v>
      </c>
      <c r="G35" s="6">
        <v>113.8</v>
      </c>
      <c r="H35" s="6">
        <v>109.5</v>
      </c>
      <c r="I35" s="6">
        <v>115.5</v>
      </c>
      <c r="J35" s="6">
        <v>145.69999999999999</v>
      </c>
      <c r="K35" s="6">
        <v>109.5</v>
      </c>
      <c r="L35" s="6">
        <v>102.9</v>
      </c>
      <c r="M35" s="6">
        <v>109.8</v>
      </c>
      <c r="N35" s="6">
        <v>112.1</v>
      </c>
      <c r="O35" s="6">
        <v>116.8</v>
      </c>
      <c r="P35" s="6">
        <v>118.7</v>
      </c>
      <c r="Q35" s="6">
        <v>113.6</v>
      </c>
      <c r="R35" s="6">
        <v>115.8</v>
      </c>
      <c r="S35" s="6">
        <v>114</v>
      </c>
      <c r="T35" s="6">
        <v>115.5</v>
      </c>
      <c r="U35" s="6" t="s">
        <v>32</v>
      </c>
      <c r="V35" s="6">
        <v>112.8</v>
      </c>
      <c r="W35" s="6">
        <v>112.1</v>
      </c>
      <c r="X35" s="6">
        <v>110.1</v>
      </c>
      <c r="Y35" s="6">
        <v>109.9</v>
      </c>
      <c r="Z35" s="6">
        <v>109.2</v>
      </c>
      <c r="AA35" s="6">
        <v>111.6</v>
      </c>
      <c r="AB35" s="6">
        <v>108.1</v>
      </c>
      <c r="AC35" s="6">
        <v>110.1</v>
      </c>
      <c r="AD35" s="6">
        <v>115.5</v>
      </c>
    </row>
    <row r="36" spans="1:30" x14ac:dyDescent="0.3">
      <c r="A36" s="5" t="s">
        <v>33</v>
      </c>
      <c r="B36" s="5">
        <v>2013</v>
      </c>
      <c r="C36" s="5" t="s">
        <v>46</v>
      </c>
      <c r="D36" s="5">
        <v>120.5</v>
      </c>
      <c r="E36" s="5">
        <v>118.1</v>
      </c>
      <c r="F36" s="5">
        <v>128.5</v>
      </c>
      <c r="G36" s="5">
        <v>112.8</v>
      </c>
      <c r="H36" s="5">
        <v>103.4</v>
      </c>
      <c r="I36" s="5">
        <v>110.7</v>
      </c>
      <c r="J36" s="5">
        <v>144.80000000000001</v>
      </c>
      <c r="K36" s="5">
        <v>107.1</v>
      </c>
      <c r="L36" s="5">
        <v>98.6</v>
      </c>
      <c r="M36" s="5">
        <v>111.9</v>
      </c>
      <c r="N36" s="5">
        <v>112.1</v>
      </c>
      <c r="O36" s="5">
        <v>118.1</v>
      </c>
      <c r="P36" s="5">
        <v>117.8</v>
      </c>
      <c r="Q36" s="5">
        <v>115</v>
      </c>
      <c r="R36" s="5">
        <v>114.2</v>
      </c>
      <c r="S36" s="5">
        <v>110.9</v>
      </c>
      <c r="T36" s="5">
        <v>113.7</v>
      </c>
      <c r="U36" s="5">
        <v>110.7</v>
      </c>
      <c r="V36" s="5">
        <v>110.4</v>
      </c>
      <c r="W36" s="5">
        <v>111.3</v>
      </c>
      <c r="X36" s="5">
        <v>109</v>
      </c>
      <c r="Y36" s="5">
        <v>109.7</v>
      </c>
      <c r="Z36" s="5">
        <v>108.9</v>
      </c>
      <c r="AA36" s="5">
        <v>111.4</v>
      </c>
      <c r="AB36" s="5">
        <v>107.7</v>
      </c>
      <c r="AC36" s="5">
        <v>109.8</v>
      </c>
      <c r="AD36" s="5">
        <v>113.3</v>
      </c>
    </row>
    <row r="37" spans="1:30" x14ac:dyDescent="0.3">
      <c r="A37" s="6" t="s">
        <v>34</v>
      </c>
      <c r="B37" s="6">
        <v>2013</v>
      </c>
      <c r="C37" s="6" t="s">
        <v>46</v>
      </c>
      <c r="D37" s="6">
        <v>119.1</v>
      </c>
      <c r="E37" s="6">
        <v>116.7</v>
      </c>
      <c r="F37" s="6">
        <v>123.5</v>
      </c>
      <c r="G37" s="6">
        <v>113.4</v>
      </c>
      <c r="H37" s="6">
        <v>107.3</v>
      </c>
      <c r="I37" s="6">
        <v>113.3</v>
      </c>
      <c r="J37" s="6">
        <v>145.4</v>
      </c>
      <c r="K37" s="6">
        <v>108.7</v>
      </c>
      <c r="L37" s="6">
        <v>101.5</v>
      </c>
      <c r="M37" s="6">
        <v>110.5</v>
      </c>
      <c r="N37" s="6">
        <v>112.1</v>
      </c>
      <c r="O37" s="6">
        <v>117.4</v>
      </c>
      <c r="P37" s="6">
        <v>118.4</v>
      </c>
      <c r="Q37" s="6">
        <v>114</v>
      </c>
      <c r="R37" s="6">
        <v>115.2</v>
      </c>
      <c r="S37" s="6">
        <v>112.7</v>
      </c>
      <c r="T37" s="6">
        <v>114.8</v>
      </c>
      <c r="U37" s="6">
        <v>110.7</v>
      </c>
      <c r="V37" s="6">
        <v>111.9</v>
      </c>
      <c r="W37" s="6">
        <v>111.7</v>
      </c>
      <c r="X37" s="6">
        <v>109.7</v>
      </c>
      <c r="Y37" s="6">
        <v>109.8</v>
      </c>
      <c r="Z37" s="6">
        <v>109</v>
      </c>
      <c r="AA37" s="6">
        <v>111.5</v>
      </c>
      <c r="AB37" s="6">
        <v>107.9</v>
      </c>
      <c r="AC37" s="6">
        <v>110</v>
      </c>
      <c r="AD37" s="6">
        <v>114.5</v>
      </c>
    </row>
    <row r="38" spans="1:30" x14ac:dyDescent="0.3">
      <c r="A38" s="5" t="s">
        <v>30</v>
      </c>
      <c r="B38" s="5">
        <v>2014</v>
      </c>
      <c r="C38" s="5" t="s">
        <v>31</v>
      </c>
      <c r="D38" s="5">
        <v>118.9</v>
      </c>
      <c r="E38" s="5">
        <v>117.1</v>
      </c>
      <c r="F38" s="5">
        <v>120.5</v>
      </c>
      <c r="G38" s="5">
        <v>114.4</v>
      </c>
      <c r="H38" s="5">
        <v>109</v>
      </c>
      <c r="I38" s="5">
        <v>115.5</v>
      </c>
      <c r="J38" s="5">
        <v>123.9</v>
      </c>
      <c r="K38" s="5">
        <v>109.6</v>
      </c>
      <c r="L38" s="5">
        <v>101.8</v>
      </c>
      <c r="M38" s="5">
        <v>110.2</v>
      </c>
      <c r="N38" s="5">
        <v>112.4</v>
      </c>
      <c r="O38" s="5">
        <v>117.3</v>
      </c>
      <c r="P38" s="5">
        <v>116</v>
      </c>
      <c r="Q38" s="5">
        <v>114</v>
      </c>
      <c r="R38" s="5">
        <v>116.5</v>
      </c>
      <c r="S38" s="5">
        <v>114.5</v>
      </c>
      <c r="T38" s="5">
        <v>116.2</v>
      </c>
      <c r="U38" s="5" t="s">
        <v>32</v>
      </c>
      <c r="V38" s="5">
        <v>113</v>
      </c>
      <c r="W38" s="5">
        <v>112.6</v>
      </c>
      <c r="X38" s="5">
        <v>110.6</v>
      </c>
      <c r="Y38" s="5">
        <v>110.5</v>
      </c>
      <c r="Z38" s="5">
        <v>109.6</v>
      </c>
      <c r="AA38" s="5">
        <v>111.8</v>
      </c>
      <c r="AB38" s="5">
        <v>108.3</v>
      </c>
      <c r="AC38" s="5">
        <v>110.6</v>
      </c>
      <c r="AD38" s="5">
        <v>114.2</v>
      </c>
    </row>
    <row r="39" spans="1:30" x14ac:dyDescent="0.3">
      <c r="A39" s="6" t="s">
        <v>33</v>
      </c>
      <c r="B39" s="6">
        <v>2014</v>
      </c>
      <c r="C39" s="6" t="s">
        <v>31</v>
      </c>
      <c r="D39" s="6">
        <v>121.2</v>
      </c>
      <c r="E39" s="6">
        <v>122</v>
      </c>
      <c r="F39" s="6">
        <v>129.9</v>
      </c>
      <c r="G39" s="6">
        <v>113.6</v>
      </c>
      <c r="H39" s="6">
        <v>102.9</v>
      </c>
      <c r="I39" s="6">
        <v>112.1</v>
      </c>
      <c r="J39" s="6">
        <v>118.9</v>
      </c>
      <c r="K39" s="6">
        <v>107.5</v>
      </c>
      <c r="L39" s="6">
        <v>96.9</v>
      </c>
      <c r="M39" s="6">
        <v>112.7</v>
      </c>
      <c r="N39" s="6">
        <v>112.1</v>
      </c>
      <c r="O39" s="6">
        <v>119</v>
      </c>
      <c r="P39" s="6">
        <v>115.5</v>
      </c>
      <c r="Q39" s="6">
        <v>115.7</v>
      </c>
      <c r="R39" s="6">
        <v>114.8</v>
      </c>
      <c r="S39" s="6">
        <v>111.3</v>
      </c>
      <c r="T39" s="6">
        <v>114.3</v>
      </c>
      <c r="U39" s="6">
        <v>111.6</v>
      </c>
      <c r="V39" s="6">
        <v>111</v>
      </c>
      <c r="W39" s="6">
        <v>111.9</v>
      </c>
      <c r="X39" s="6">
        <v>109.7</v>
      </c>
      <c r="Y39" s="6">
        <v>110.8</v>
      </c>
      <c r="Z39" s="6">
        <v>109.8</v>
      </c>
      <c r="AA39" s="6">
        <v>111.5</v>
      </c>
      <c r="AB39" s="6">
        <v>108</v>
      </c>
      <c r="AC39" s="6">
        <v>110.5</v>
      </c>
      <c r="AD39" s="6">
        <v>112.9</v>
      </c>
    </row>
    <row r="40" spans="1:30" x14ac:dyDescent="0.3">
      <c r="A40" s="5" t="s">
        <v>34</v>
      </c>
      <c r="B40" s="5">
        <v>2014</v>
      </c>
      <c r="C40" s="5" t="s">
        <v>31</v>
      </c>
      <c r="D40" s="5">
        <v>119.6</v>
      </c>
      <c r="E40" s="5">
        <v>118.8</v>
      </c>
      <c r="F40" s="5">
        <v>124.1</v>
      </c>
      <c r="G40" s="5">
        <v>114.1</v>
      </c>
      <c r="H40" s="5">
        <v>106.8</v>
      </c>
      <c r="I40" s="5">
        <v>113.9</v>
      </c>
      <c r="J40" s="5">
        <v>122.2</v>
      </c>
      <c r="K40" s="5">
        <v>108.9</v>
      </c>
      <c r="L40" s="5">
        <v>100.2</v>
      </c>
      <c r="M40" s="5">
        <v>111</v>
      </c>
      <c r="N40" s="5">
        <v>112.3</v>
      </c>
      <c r="O40" s="5">
        <v>118.1</v>
      </c>
      <c r="P40" s="5">
        <v>115.8</v>
      </c>
      <c r="Q40" s="5">
        <v>114.5</v>
      </c>
      <c r="R40" s="5">
        <v>115.8</v>
      </c>
      <c r="S40" s="5">
        <v>113.2</v>
      </c>
      <c r="T40" s="5">
        <v>115.4</v>
      </c>
      <c r="U40" s="5">
        <v>111.6</v>
      </c>
      <c r="V40" s="5">
        <v>112.2</v>
      </c>
      <c r="W40" s="5">
        <v>112.3</v>
      </c>
      <c r="X40" s="5">
        <v>110.3</v>
      </c>
      <c r="Y40" s="5">
        <v>110.7</v>
      </c>
      <c r="Z40" s="5">
        <v>109.7</v>
      </c>
      <c r="AA40" s="5">
        <v>111.6</v>
      </c>
      <c r="AB40" s="5">
        <v>108.2</v>
      </c>
      <c r="AC40" s="5">
        <v>110.6</v>
      </c>
      <c r="AD40" s="5">
        <v>113.6</v>
      </c>
    </row>
    <row r="41" spans="1:30" x14ac:dyDescent="0.3">
      <c r="A41" s="6" t="s">
        <v>30</v>
      </c>
      <c r="B41" s="6">
        <v>2014</v>
      </c>
      <c r="C41" s="6" t="s">
        <v>35</v>
      </c>
      <c r="D41" s="6">
        <v>119.4</v>
      </c>
      <c r="E41" s="6">
        <v>117.7</v>
      </c>
      <c r="F41" s="6">
        <v>121.2</v>
      </c>
      <c r="G41" s="6">
        <v>115</v>
      </c>
      <c r="H41" s="6">
        <v>109</v>
      </c>
      <c r="I41" s="6">
        <v>116.6</v>
      </c>
      <c r="J41" s="6">
        <v>116</v>
      </c>
      <c r="K41" s="6">
        <v>109.8</v>
      </c>
      <c r="L41" s="6">
        <v>101.1</v>
      </c>
      <c r="M41" s="6">
        <v>110.4</v>
      </c>
      <c r="N41" s="6">
        <v>112.9</v>
      </c>
      <c r="O41" s="6">
        <v>117.8</v>
      </c>
      <c r="P41" s="6">
        <v>115.3</v>
      </c>
      <c r="Q41" s="6">
        <v>114.2</v>
      </c>
      <c r="R41" s="6">
        <v>117.1</v>
      </c>
      <c r="S41" s="6">
        <v>114.5</v>
      </c>
      <c r="T41" s="6">
        <v>116.7</v>
      </c>
      <c r="U41" s="6" t="s">
        <v>32</v>
      </c>
      <c r="V41" s="6">
        <v>113.2</v>
      </c>
      <c r="W41" s="6">
        <v>112.9</v>
      </c>
      <c r="X41" s="6">
        <v>110.9</v>
      </c>
      <c r="Y41" s="6">
        <v>110.8</v>
      </c>
      <c r="Z41" s="6">
        <v>109.9</v>
      </c>
      <c r="AA41" s="6">
        <v>112</v>
      </c>
      <c r="AB41" s="6">
        <v>108.7</v>
      </c>
      <c r="AC41" s="6">
        <v>110.9</v>
      </c>
      <c r="AD41" s="6">
        <v>114</v>
      </c>
    </row>
    <row r="42" spans="1:30" x14ac:dyDescent="0.3">
      <c r="A42" s="5" t="s">
        <v>33</v>
      </c>
      <c r="B42" s="5">
        <v>2014</v>
      </c>
      <c r="C42" s="5" t="s">
        <v>35</v>
      </c>
      <c r="D42" s="5">
        <v>121.9</v>
      </c>
      <c r="E42" s="5">
        <v>122</v>
      </c>
      <c r="F42" s="5">
        <v>124.5</v>
      </c>
      <c r="G42" s="5">
        <v>115.2</v>
      </c>
      <c r="H42" s="5">
        <v>102.5</v>
      </c>
      <c r="I42" s="5">
        <v>114.1</v>
      </c>
      <c r="J42" s="5">
        <v>111.5</v>
      </c>
      <c r="K42" s="5">
        <v>108.2</v>
      </c>
      <c r="L42" s="5">
        <v>95.4</v>
      </c>
      <c r="M42" s="5">
        <v>113.5</v>
      </c>
      <c r="N42" s="5">
        <v>112.1</v>
      </c>
      <c r="O42" s="5">
        <v>119.9</v>
      </c>
      <c r="P42" s="5">
        <v>115.2</v>
      </c>
      <c r="Q42" s="5">
        <v>116.2</v>
      </c>
      <c r="R42" s="5">
        <v>115.3</v>
      </c>
      <c r="S42" s="5">
        <v>111.7</v>
      </c>
      <c r="T42" s="5">
        <v>114.7</v>
      </c>
      <c r="U42" s="5">
        <v>112.5</v>
      </c>
      <c r="V42" s="5">
        <v>111.1</v>
      </c>
      <c r="W42" s="5">
        <v>112.6</v>
      </c>
      <c r="X42" s="5">
        <v>110.4</v>
      </c>
      <c r="Y42" s="5">
        <v>111.3</v>
      </c>
      <c r="Z42" s="5">
        <v>110.3</v>
      </c>
      <c r="AA42" s="5">
        <v>111.6</v>
      </c>
      <c r="AB42" s="5">
        <v>108.7</v>
      </c>
      <c r="AC42" s="5">
        <v>111</v>
      </c>
      <c r="AD42" s="5">
        <v>113.1</v>
      </c>
    </row>
    <row r="43" spans="1:30" x14ac:dyDescent="0.3">
      <c r="A43" s="6" t="s">
        <v>34</v>
      </c>
      <c r="B43" s="6">
        <v>2014</v>
      </c>
      <c r="C43" s="6" t="s">
        <v>35</v>
      </c>
      <c r="D43" s="6">
        <v>120.2</v>
      </c>
      <c r="E43" s="6">
        <v>119.2</v>
      </c>
      <c r="F43" s="6">
        <v>122.5</v>
      </c>
      <c r="G43" s="6">
        <v>115.1</v>
      </c>
      <c r="H43" s="6">
        <v>106.6</v>
      </c>
      <c r="I43" s="6">
        <v>115.4</v>
      </c>
      <c r="J43" s="6">
        <v>114.5</v>
      </c>
      <c r="K43" s="6">
        <v>109.3</v>
      </c>
      <c r="L43" s="6">
        <v>99.2</v>
      </c>
      <c r="M43" s="6">
        <v>111.4</v>
      </c>
      <c r="N43" s="6">
        <v>112.6</v>
      </c>
      <c r="O43" s="6">
        <v>118.8</v>
      </c>
      <c r="P43" s="6">
        <v>115.3</v>
      </c>
      <c r="Q43" s="6">
        <v>114.7</v>
      </c>
      <c r="R43" s="6">
        <v>116.4</v>
      </c>
      <c r="S43" s="6">
        <v>113.3</v>
      </c>
      <c r="T43" s="6">
        <v>115.9</v>
      </c>
      <c r="U43" s="6">
        <v>112.5</v>
      </c>
      <c r="V43" s="6">
        <v>112.4</v>
      </c>
      <c r="W43" s="6">
        <v>112.8</v>
      </c>
      <c r="X43" s="6">
        <v>110.7</v>
      </c>
      <c r="Y43" s="6">
        <v>111.1</v>
      </c>
      <c r="Z43" s="6">
        <v>110.1</v>
      </c>
      <c r="AA43" s="6">
        <v>111.8</v>
      </c>
      <c r="AB43" s="6">
        <v>108.7</v>
      </c>
      <c r="AC43" s="6">
        <v>110.9</v>
      </c>
      <c r="AD43" s="6">
        <v>113.6</v>
      </c>
    </row>
    <row r="44" spans="1:30" x14ac:dyDescent="0.3">
      <c r="A44" s="5" t="s">
        <v>30</v>
      </c>
      <c r="B44" s="5">
        <v>2014</v>
      </c>
      <c r="C44" s="5" t="s">
        <v>36</v>
      </c>
      <c r="D44" s="5">
        <v>120.1</v>
      </c>
      <c r="E44" s="5">
        <v>118.1</v>
      </c>
      <c r="F44" s="5">
        <v>120.7</v>
      </c>
      <c r="G44" s="5">
        <v>116.1</v>
      </c>
      <c r="H44" s="5">
        <v>109.3</v>
      </c>
      <c r="I44" s="5">
        <v>119.6</v>
      </c>
      <c r="J44" s="5">
        <v>117.9</v>
      </c>
      <c r="K44" s="5">
        <v>110.2</v>
      </c>
      <c r="L44" s="5">
        <v>101.2</v>
      </c>
      <c r="M44" s="5">
        <v>110.7</v>
      </c>
      <c r="N44" s="5">
        <v>113</v>
      </c>
      <c r="O44" s="5">
        <v>118.3</v>
      </c>
      <c r="P44" s="5">
        <v>116.2</v>
      </c>
      <c r="Q44" s="5">
        <v>114.6</v>
      </c>
      <c r="R44" s="5">
        <v>117.5</v>
      </c>
      <c r="S44" s="5">
        <v>114.9</v>
      </c>
      <c r="T44" s="5">
        <v>117.2</v>
      </c>
      <c r="U44" s="5" t="s">
        <v>32</v>
      </c>
      <c r="V44" s="5">
        <v>113.4</v>
      </c>
      <c r="W44" s="5">
        <v>113.4</v>
      </c>
      <c r="X44" s="5">
        <v>111.4</v>
      </c>
      <c r="Y44" s="5">
        <v>111.2</v>
      </c>
      <c r="Z44" s="5">
        <v>110.2</v>
      </c>
      <c r="AA44" s="5">
        <v>112.4</v>
      </c>
      <c r="AB44" s="5">
        <v>108.9</v>
      </c>
      <c r="AC44" s="5">
        <v>111.3</v>
      </c>
      <c r="AD44" s="5">
        <v>114.6</v>
      </c>
    </row>
    <row r="45" spans="1:30" x14ac:dyDescent="0.3">
      <c r="A45" s="6" t="s">
        <v>33</v>
      </c>
      <c r="B45" s="6">
        <v>2014</v>
      </c>
      <c r="C45" s="6" t="s">
        <v>36</v>
      </c>
      <c r="D45" s="6">
        <v>122.1</v>
      </c>
      <c r="E45" s="6">
        <v>121.4</v>
      </c>
      <c r="F45" s="6">
        <v>121.5</v>
      </c>
      <c r="G45" s="6">
        <v>116.2</v>
      </c>
      <c r="H45" s="6">
        <v>102.8</v>
      </c>
      <c r="I45" s="6">
        <v>117.7</v>
      </c>
      <c r="J45" s="6">
        <v>113.3</v>
      </c>
      <c r="K45" s="6">
        <v>108.9</v>
      </c>
      <c r="L45" s="6">
        <v>96.3</v>
      </c>
      <c r="M45" s="6">
        <v>114.1</v>
      </c>
      <c r="N45" s="6">
        <v>112.2</v>
      </c>
      <c r="O45" s="6">
        <v>120.5</v>
      </c>
      <c r="P45" s="6">
        <v>116</v>
      </c>
      <c r="Q45" s="6">
        <v>116.7</v>
      </c>
      <c r="R45" s="6">
        <v>115.8</v>
      </c>
      <c r="S45" s="6">
        <v>112.1</v>
      </c>
      <c r="T45" s="6">
        <v>115.2</v>
      </c>
      <c r="U45" s="6">
        <v>113.2</v>
      </c>
      <c r="V45" s="6">
        <v>110.9</v>
      </c>
      <c r="W45" s="6">
        <v>113</v>
      </c>
      <c r="X45" s="6">
        <v>110.8</v>
      </c>
      <c r="Y45" s="6">
        <v>111.6</v>
      </c>
      <c r="Z45" s="6">
        <v>110.9</v>
      </c>
      <c r="AA45" s="6">
        <v>111.8</v>
      </c>
      <c r="AB45" s="6">
        <v>109.2</v>
      </c>
      <c r="AC45" s="6">
        <v>111.4</v>
      </c>
      <c r="AD45" s="6">
        <v>113.7</v>
      </c>
    </row>
    <row r="46" spans="1:30" x14ac:dyDescent="0.3">
      <c r="A46" s="5" t="s">
        <v>34</v>
      </c>
      <c r="B46" s="5">
        <v>2014</v>
      </c>
      <c r="C46" s="5" t="s">
        <v>47</v>
      </c>
      <c r="D46" s="5">
        <v>120.7</v>
      </c>
      <c r="E46" s="5">
        <v>119.3</v>
      </c>
      <c r="F46" s="5">
        <v>121</v>
      </c>
      <c r="G46" s="5">
        <v>116.1</v>
      </c>
      <c r="H46" s="5">
        <v>106.9</v>
      </c>
      <c r="I46" s="5">
        <v>118.7</v>
      </c>
      <c r="J46" s="5">
        <v>116.3</v>
      </c>
      <c r="K46" s="5">
        <v>109.8</v>
      </c>
      <c r="L46" s="5">
        <v>99.6</v>
      </c>
      <c r="M46" s="5">
        <v>111.8</v>
      </c>
      <c r="N46" s="5">
        <v>112.7</v>
      </c>
      <c r="O46" s="5">
        <v>119.3</v>
      </c>
      <c r="P46" s="5">
        <v>116.1</v>
      </c>
      <c r="Q46" s="5">
        <v>115.2</v>
      </c>
      <c r="R46" s="5">
        <v>116.8</v>
      </c>
      <c r="S46" s="5">
        <v>113.7</v>
      </c>
      <c r="T46" s="5">
        <v>116.4</v>
      </c>
      <c r="U46" s="5">
        <v>113.2</v>
      </c>
      <c r="V46" s="5">
        <v>112.5</v>
      </c>
      <c r="W46" s="5">
        <v>113.2</v>
      </c>
      <c r="X46" s="5">
        <v>111.2</v>
      </c>
      <c r="Y46" s="5">
        <v>111.4</v>
      </c>
      <c r="Z46" s="5">
        <v>110.6</v>
      </c>
      <c r="AA46" s="5">
        <v>112</v>
      </c>
      <c r="AB46" s="5">
        <v>109</v>
      </c>
      <c r="AC46" s="5">
        <v>111.3</v>
      </c>
      <c r="AD46" s="5">
        <v>114.2</v>
      </c>
    </row>
    <row r="47" spans="1:30" x14ac:dyDescent="0.3">
      <c r="A47" s="6" t="s">
        <v>30</v>
      </c>
      <c r="B47" s="6">
        <v>2014</v>
      </c>
      <c r="C47" s="6" t="s">
        <v>37</v>
      </c>
      <c r="D47" s="6">
        <v>120.2</v>
      </c>
      <c r="E47" s="6">
        <v>118.9</v>
      </c>
      <c r="F47" s="6">
        <v>118.1</v>
      </c>
      <c r="G47" s="6">
        <v>117</v>
      </c>
      <c r="H47" s="6">
        <v>109.7</v>
      </c>
      <c r="I47" s="6">
        <v>125.5</v>
      </c>
      <c r="J47" s="6">
        <v>120.5</v>
      </c>
      <c r="K47" s="6">
        <v>111</v>
      </c>
      <c r="L47" s="6">
        <v>102.6</v>
      </c>
      <c r="M47" s="6">
        <v>111.2</v>
      </c>
      <c r="N47" s="6">
        <v>113.5</v>
      </c>
      <c r="O47" s="6">
        <v>118.7</v>
      </c>
      <c r="P47" s="6">
        <v>117.2</v>
      </c>
      <c r="Q47" s="6">
        <v>115.4</v>
      </c>
      <c r="R47" s="6">
        <v>118.1</v>
      </c>
      <c r="S47" s="6">
        <v>116.1</v>
      </c>
      <c r="T47" s="6">
        <v>117.8</v>
      </c>
      <c r="U47" s="6" t="s">
        <v>32</v>
      </c>
      <c r="V47" s="6">
        <v>113.4</v>
      </c>
      <c r="W47" s="6">
        <v>113.7</v>
      </c>
      <c r="X47" s="6">
        <v>111.8</v>
      </c>
      <c r="Y47" s="6">
        <v>111.2</v>
      </c>
      <c r="Z47" s="6">
        <v>110.5</v>
      </c>
      <c r="AA47" s="6">
        <v>113</v>
      </c>
      <c r="AB47" s="6">
        <v>108.9</v>
      </c>
      <c r="AC47" s="6">
        <v>111.5</v>
      </c>
      <c r="AD47" s="6">
        <v>115.4</v>
      </c>
    </row>
    <row r="48" spans="1:30" x14ac:dyDescent="0.3">
      <c r="A48" s="5" t="s">
        <v>33</v>
      </c>
      <c r="B48" s="5">
        <v>2014</v>
      </c>
      <c r="C48" s="5" t="s">
        <v>37</v>
      </c>
      <c r="D48" s="5">
        <v>122.5</v>
      </c>
      <c r="E48" s="5">
        <v>121.7</v>
      </c>
      <c r="F48" s="5">
        <v>113.3</v>
      </c>
      <c r="G48" s="5">
        <v>117</v>
      </c>
      <c r="H48" s="5">
        <v>103.1</v>
      </c>
      <c r="I48" s="5">
        <v>126.7</v>
      </c>
      <c r="J48" s="5">
        <v>121.2</v>
      </c>
      <c r="K48" s="5">
        <v>111</v>
      </c>
      <c r="L48" s="5">
        <v>100.3</v>
      </c>
      <c r="M48" s="5">
        <v>115.3</v>
      </c>
      <c r="N48" s="5">
        <v>112.7</v>
      </c>
      <c r="O48" s="5">
        <v>121</v>
      </c>
      <c r="P48" s="5">
        <v>118.2</v>
      </c>
      <c r="Q48" s="5">
        <v>117.6</v>
      </c>
      <c r="R48" s="5">
        <v>116.3</v>
      </c>
      <c r="S48" s="5">
        <v>112.5</v>
      </c>
      <c r="T48" s="5">
        <v>115.7</v>
      </c>
      <c r="U48" s="5">
        <v>113.9</v>
      </c>
      <c r="V48" s="5">
        <v>110.9</v>
      </c>
      <c r="W48" s="5">
        <v>113.4</v>
      </c>
      <c r="X48" s="5">
        <v>111</v>
      </c>
      <c r="Y48" s="5">
        <v>111.2</v>
      </c>
      <c r="Z48" s="5">
        <v>111.2</v>
      </c>
      <c r="AA48" s="5">
        <v>112.5</v>
      </c>
      <c r="AB48" s="5">
        <v>109.1</v>
      </c>
      <c r="AC48" s="5">
        <v>111.4</v>
      </c>
      <c r="AD48" s="5">
        <v>114.7</v>
      </c>
    </row>
    <row r="49" spans="1:30" x14ac:dyDescent="0.3">
      <c r="A49" s="6" t="s">
        <v>34</v>
      </c>
      <c r="B49" s="6">
        <v>2014</v>
      </c>
      <c r="C49" s="6" t="s">
        <v>37</v>
      </c>
      <c r="D49" s="6">
        <v>120.9</v>
      </c>
      <c r="E49" s="6">
        <v>119.9</v>
      </c>
      <c r="F49" s="6">
        <v>116.2</v>
      </c>
      <c r="G49" s="6">
        <v>117</v>
      </c>
      <c r="H49" s="6">
        <v>107.3</v>
      </c>
      <c r="I49" s="6">
        <v>126.1</v>
      </c>
      <c r="J49" s="6">
        <v>120.7</v>
      </c>
      <c r="K49" s="6">
        <v>111</v>
      </c>
      <c r="L49" s="6">
        <v>101.8</v>
      </c>
      <c r="M49" s="6">
        <v>112.6</v>
      </c>
      <c r="N49" s="6">
        <v>113.2</v>
      </c>
      <c r="O49" s="6">
        <v>119.8</v>
      </c>
      <c r="P49" s="6">
        <v>117.6</v>
      </c>
      <c r="Q49" s="6">
        <v>116</v>
      </c>
      <c r="R49" s="6">
        <v>117.4</v>
      </c>
      <c r="S49" s="6">
        <v>114.6</v>
      </c>
      <c r="T49" s="6">
        <v>117</v>
      </c>
      <c r="U49" s="6">
        <v>113.9</v>
      </c>
      <c r="V49" s="6">
        <v>112.5</v>
      </c>
      <c r="W49" s="6">
        <v>113.6</v>
      </c>
      <c r="X49" s="6">
        <v>111.5</v>
      </c>
      <c r="Y49" s="6">
        <v>111.2</v>
      </c>
      <c r="Z49" s="6">
        <v>110.9</v>
      </c>
      <c r="AA49" s="6">
        <v>112.7</v>
      </c>
      <c r="AB49" s="6">
        <v>109</v>
      </c>
      <c r="AC49" s="6">
        <v>111.5</v>
      </c>
      <c r="AD49" s="6">
        <v>115.1</v>
      </c>
    </row>
    <row r="50" spans="1:30" x14ac:dyDescent="0.3">
      <c r="A50" s="5" t="s">
        <v>30</v>
      </c>
      <c r="B50" s="5">
        <v>2014</v>
      </c>
      <c r="C50" s="5" t="s">
        <v>38</v>
      </c>
      <c r="D50" s="5">
        <v>120.3</v>
      </c>
      <c r="E50" s="5">
        <v>120.2</v>
      </c>
      <c r="F50" s="5">
        <v>116.9</v>
      </c>
      <c r="G50" s="5">
        <v>118</v>
      </c>
      <c r="H50" s="5">
        <v>110.1</v>
      </c>
      <c r="I50" s="5">
        <v>126.3</v>
      </c>
      <c r="J50" s="5">
        <v>123.9</v>
      </c>
      <c r="K50" s="5">
        <v>111.5</v>
      </c>
      <c r="L50" s="5">
        <v>103.5</v>
      </c>
      <c r="M50" s="5">
        <v>111.6</v>
      </c>
      <c r="N50" s="5">
        <v>114.2</v>
      </c>
      <c r="O50" s="5">
        <v>119.2</v>
      </c>
      <c r="P50" s="5">
        <v>118.2</v>
      </c>
      <c r="Q50" s="5">
        <v>116.3</v>
      </c>
      <c r="R50" s="5">
        <v>118.7</v>
      </c>
      <c r="S50" s="5">
        <v>116.8</v>
      </c>
      <c r="T50" s="5">
        <v>118.5</v>
      </c>
      <c r="U50" s="5" t="s">
        <v>32</v>
      </c>
      <c r="V50" s="5">
        <v>113.4</v>
      </c>
      <c r="W50" s="5">
        <v>114.1</v>
      </c>
      <c r="X50" s="5">
        <v>112.1</v>
      </c>
      <c r="Y50" s="5">
        <v>111.4</v>
      </c>
      <c r="Z50" s="5">
        <v>110.9</v>
      </c>
      <c r="AA50" s="5">
        <v>113.1</v>
      </c>
      <c r="AB50" s="5">
        <v>108.9</v>
      </c>
      <c r="AC50" s="5">
        <v>111.8</v>
      </c>
      <c r="AD50" s="5">
        <v>116</v>
      </c>
    </row>
    <row r="51" spans="1:30" x14ac:dyDescent="0.3">
      <c r="A51" s="6" t="s">
        <v>33</v>
      </c>
      <c r="B51" s="6">
        <v>2014</v>
      </c>
      <c r="C51" s="6" t="s">
        <v>38</v>
      </c>
      <c r="D51" s="6">
        <v>122.7</v>
      </c>
      <c r="E51" s="6">
        <v>124.1</v>
      </c>
      <c r="F51" s="6">
        <v>114.2</v>
      </c>
      <c r="G51" s="6">
        <v>119.1</v>
      </c>
      <c r="H51" s="6">
        <v>103.5</v>
      </c>
      <c r="I51" s="6">
        <v>129.19999999999999</v>
      </c>
      <c r="J51" s="6">
        <v>127</v>
      </c>
      <c r="K51" s="6">
        <v>112.6</v>
      </c>
      <c r="L51" s="6">
        <v>101.3</v>
      </c>
      <c r="M51" s="6">
        <v>117</v>
      </c>
      <c r="N51" s="6">
        <v>112.9</v>
      </c>
      <c r="O51" s="6">
        <v>121.7</v>
      </c>
      <c r="P51" s="6">
        <v>120</v>
      </c>
      <c r="Q51" s="6">
        <v>118.3</v>
      </c>
      <c r="R51" s="6">
        <v>116.8</v>
      </c>
      <c r="S51" s="6">
        <v>112.9</v>
      </c>
      <c r="T51" s="6">
        <v>116.2</v>
      </c>
      <c r="U51" s="6">
        <v>114.3</v>
      </c>
      <c r="V51" s="6">
        <v>111.1</v>
      </c>
      <c r="W51" s="6">
        <v>114.1</v>
      </c>
      <c r="X51" s="6">
        <v>111.2</v>
      </c>
      <c r="Y51" s="6">
        <v>111.3</v>
      </c>
      <c r="Z51" s="6">
        <v>111.5</v>
      </c>
      <c r="AA51" s="6">
        <v>112.9</v>
      </c>
      <c r="AB51" s="6">
        <v>109.3</v>
      </c>
      <c r="AC51" s="6">
        <v>111.7</v>
      </c>
      <c r="AD51" s="6">
        <v>115.6</v>
      </c>
    </row>
    <row r="52" spans="1:30" x14ac:dyDescent="0.3">
      <c r="A52" s="5" t="s">
        <v>34</v>
      </c>
      <c r="B52" s="5">
        <v>2014</v>
      </c>
      <c r="C52" s="5" t="s">
        <v>38</v>
      </c>
      <c r="D52" s="5">
        <v>121.1</v>
      </c>
      <c r="E52" s="5">
        <v>121.6</v>
      </c>
      <c r="F52" s="5">
        <v>115.9</v>
      </c>
      <c r="G52" s="5">
        <v>118.4</v>
      </c>
      <c r="H52" s="5">
        <v>107.7</v>
      </c>
      <c r="I52" s="5">
        <v>127.7</v>
      </c>
      <c r="J52" s="5">
        <v>125</v>
      </c>
      <c r="K52" s="5">
        <v>111.9</v>
      </c>
      <c r="L52" s="5">
        <v>102.8</v>
      </c>
      <c r="M52" s="5">
        <v>113.4</v>
      </c>
      <c r="N52" s="5">
        <v>113.7</v>
      </c>
      <c r="O52" s="5">
        <v>120.4</v>
      </c>
      <c r="P52" s="5">
        <v>118.9</v>
      </c>
      <c r="Q52" s="5">
        <v>116.8</v>
      </c>
      <c r="R52" s="5">
        <v>118</v>
      </c>
      <c r="S52" s="5">
        <v>115.2</v>
      </c>
      <c r="T52" s="5">
        <v>117.6</v>
      </c>
      <c r="U52" s="5">
        <v>114.3</v>
      </c>
      <c r="V52" s="5">
        <v>112.5</v>
      </c>
      <c r="W52" s="5">
        <v>114.1</v>
      </c>
      <c r="X52" s="5">
        <v>111.8</v>
      </c>
      <c r="Y52" s="5">
        <v>111.3</v>
      </c>
      <c r="Z52" s="5">
        <v>111.2</v>
      </c>
      <c r="AA52" s="5">
        <v>113</v>
      </c>
      <c r="AB52" s="5">
        <v>109.1</v>
      </c>
      <c r="AC52" s="5">
        <v>111.8</v>
      </c>
      <c r="AD52" s="5">
        <v>115.8</v>
      </c>
    </row>
    <row r="53" spans="1:30" x14ac:dyDescent="0.3">
      <c r="A53" s="6" t="s">
        <v>30</v>
      </c>
      <c r="B53" s="6">
        <v>2014</v>
      </c>
      <c r="C53" s="6" t="s">
        <v>39</v>
      </c>
      <c r="D53" s="6">
        <v>120.7</v>
      </c>
      <c r="E53" s="6">
        <v>121.6</v>
      </c>
      <c r="F53" s="6">
        <v>116.1</v>
      </c>
      <c r="G53" s="6">
        <v>119.3</v>
      </c>
      <c r="H53" s="6">
        <v>110.3</v>
      </c>
      <c r="I53" s="6">
        <v>125.8</v>
      </c>
      <c r="J53" s="6">
        <v>129.30000000000001</v>
      </c>
      <c r="K53" s="6">
        <v>112.2</v>
      </c>
      <c r="L53" s="6">
        <v>103.6</v>
      </c>
      <c r="M53" s="6">
        <v>112.3</v>
      </c>
      <c r="N53" s="6">
        <v>114.9</v>
      </c>
      <c r="O53" s="6">
        <v>120.1</v>
      </c>
      <c r="P53" s="6">
        <v>119.5</v>
      </c>
      <c r="Q53" s="6">
        <v>117.3</v>
      </c>
      <c r="R53" s="6">
        <v>119.7</v>
      </c>
      <c r="S53" s="6">
        <v>117.3</v>
      </c>
      <c r="T53" s="6">
        <v>119.3</v>
      </c>
      <c r="U53" s="6" t="s">
        <v>32</v>
      </c>
      <c r="V53" s="6">
        <v>114.4</v>
      </c>
      <c r="W53" s="6">
        <v>114.9</v>
      </c>
      <c r="X53" s="6">
        <v>112.8</v>
      </c>
      <c r="Y53" s="6">
        <v>112.2</v>
      </c>
      <c r="Z53" s="6">
        <v>111.4</v>
      </c>
      <c r="AA53" s="6">
        <v>114.3</v>
      </c>
      <c r="AB53" s="6">
        <v>108</v>
      </c>
      <c r="AC53" s="6">
        <v>112.3</v>
      </c>
      <c r="AD53" s="6">
        <v>117</v>
      </c>
    </row>
    <row r="54" spans="1:30" x14ac:dyDescent="0.3">
      <c r="A54" s="5" t="s">
        <v>33</v>
      </c>
      <c r="B54" s="5">
        <v>2014</v>
      </c>
      <c r="C54" s="5" t="s">
        <v>39</v>
      </c>
      <c r="D54" s="5">
        <v>123.1</v>
      </c>
      <c r="E54" s="5">
        <v>125.9</v>
      </c>
      <c r="F54" s="5">
        <v>115.4</v>
      </c>
      <c r="G54" s="5">
        <v>120.4</v>
      </c>
      <c r="H54" s="5">
        <v>103.4</v>
      </c>
      <c r="I54" s="5">
        <v>131.19999999999999</v>
      </c>
      <c r="J54" s="5">
        <v>137.5</v>
      </c>
      <c r="K54" s="5">
        <v>112.8</v>
      </c>
      <c r="L54" s="5">
        <v>101.4</v>
      </c>
      <c r="M54" s="5">
        <v>118.3</v>
      </c>
      <c r="N54" s="5">
        <v>113.2</v>
      </c>
      <c r="O54" s="5">
        <v>122.4</v>
      </c>
      <c r="P54" s="5">
        <v>122</v>
      </c>
      <c r="Q54" s="5">
        <v>119</v>
      </c>
      <c r="R54" s="5">
        <v>117.4</v>
      </c>
      <c r="S54" s="5">
        <v>113.2</v>
      </c>
      <c r="T54" s="5">
        <v>116.7</v>
      </c>
      <c r="U54" s="5">
        <v>113.9</v>
      </c>
      <c r="V54" s="5">
        <v>111.2</v>
      </c>
      <c r="W54" s="5">
        <v>114.3</v>
      </c>
      <c r="X54" s="5">
        <v>111.4</v>
      </c>
      <c r="Y54" s="5">
        <v>111.5</v>
      </c>
      <c r="Z54" s="5">
        <v>111.8</v>
      </c>
      <c r="AA54" s="5">
        <v>115.1</v>
      </c>
      <c r="AB54" s="5">
        <v>108.7</v>
      </c>
      <c r="AC54" s="5">
        <v>112.2</v>
      </c>
      <c r="AD54" s="5">
        <v>116.4</v>
      </c>
    </row>
    <row r="55" spans="1:30" x14ac:dyDescent="0.3">
      <c r="A55" s="6" t="s">
        <v>34</v>
      </c>
      <c r="B55" s="6">
        <v>2014</v>
      </c>
      <c r="C55" s="6" t="s">
        <v>39</v>
      </c>
      <c r="D55" s="6">
        <v>121.5</v>
      </c>
      <c r="E55" s="6">
        <v>123.1</v>
      </c>
      <c r="F55" s="6">
        <v>115.8</v>
      </c>
      <c r="G55" s="6">
        <v>119.7</v>
      </c>
      <c r="H55" s="6">
        <v>107.8</v>
      </c>
      <c r="I55" s="6">
        <v>128.30000000000001</v>
      </c>
      <c r="J55" s="6">
        <v>132.1</v>
      </c>
      <c r="K55" s="6">
        <v>112.4</v>
      </c>
      <c r="L55" s="6">
        <v>102.9</v>
      </c>
      <c r="M55" s="6">
        <v>114.3</v>
      </c>
      <c r="N55" s="6">
        <v>114.2</v>
      </c>
      <c r="O55" s="6">
        <v>121.2</v>
      </c>
      <c r="P55" s="6">
        <v>120.4</v>
      </c>
      <c r="Q55" s="6">
        <v>117.8</v>
      </c>
      <c r="R55" s="6">
        <v>118.8</v>
      </c>
      <c r="S55" s="6">
        <v>115.6</v>
      </c>
      <c r="T55" s="6">
        <v>118.3</v>
      </c>
      <c r="U55" s="6">
        <v>113.9</v>
      </c>
      <c r="V55" s="6">
        <v>113.2</v>
      </c>
      <c r="W55" s="6">
        <v>114.6</v>
      </c>
      <c r="X55" s="6">
        <v>112.3</v>
      </c>
      <c r="Y55" s="6">
        <v>111.8</v>
      </c>
      <c r="Z55" s="6">
        <v>111.6</v>
      </c>
      <c r="AA55" s="6">
        <v>114.8</v>
      </c>
      <c r="AB55" s="6">
        <v>108.3</v>
      </c>
      <c r="AC55" s="6">
        <v>112.3</v>
      </c>
      <c r="AD55" s="6">
        <v>116.7</v>
      </c>
    </row>
    <row r="56" spans="1:30" x14ac:dyDescent="0.3">
      <c r="A56" s="5" t="s">
        <v>30</v>
      </c>
      <c r="B56" s="5">
        <v>2014</v>
      </c>
      <c r="C56" s="5" t="s">
        <v>40</v>
      </c>
      <c r="D56" s="5">
        <v>121.7</v>
      </c>
      <c r="E56" s="5">
        <v>122.5</v>
      </c>
      <c r="F56" s="5">
        <v>117.7</v>
      </c>
      <c r="G56" s="5">
        <v>120.6</v>
      </c>
      <c r="H56" s="5">
        <v>110.4</v>
      </c>
      <c r="I56" s="5">
        <v>129.1</v>
      </c>
      <c r="J56" s="5">
        <v>150.1</v>
      </c>
      <c r="K56" s="5">
        <v>113.2</v>
      </c>
      <c r="L56" s="5">
        <v>104.8</v>
      </c>
      <c r="M56" s="5">
        <v>113.3</v>
      </c>
      <c r="N56" s="5">
        <v>115.6</v>
      </c>
      <c r="O56" s="5">
        <v>120.9</v>
      </c>
      <c r="P56" s="5">
        <v>123.3</v>
      </c>
      <c r="Q56" s="5">
        <v>118</v>
      </c>
      <c r="R56" s="5">
        <v>120.7</v>
      </c>
      <c r="S56" s="5">
        <v>118.3</v>
      </c>
      <c r="T56" s="5">
        <v>120.3</v>
      </c>
      <c r="U56" s="5" t="s">
        <v>32</v>
      </c>
      <c r="V56" s="5">
        <v>115.3</v>
      </c>
      <c r="W56" s="5">
        <v>115.4</v>
      </c>
      <c r="X56" s="5">
        <v>113.4</v>
      </c>
      <c r="Y56" s="5">
        <v>113.2</v>
      </c>
      <c r="Z56" s="5">
        <v>111.8</v>
      </c>
      <c r="AA56" s="5">
        <v>115.5</v>
      </c>
      <c r="AB56" s="5">
        <v>108.8</v>
      </c>
      <c r="AC56" s="5">
        <v>113.1</v>
      </c>
      <c r="AD56" s="5">
        <v>119.5</v>
      </c>
    </row>
    <row r="57" spans="1:30" x14ac:dyDescent="0.3">
      <c r="A57" s="6" t="s">
        <v>33</v>
      </c>
      <c r="B57" s="6">
        <v>2014</v>
      </c>
      <c r="C57" s="6" t="s">
        <v>40</v>
      </c>
      <c r="D57" s="6">
        <v>123.8</v>
      </c>
      <c r="E57" s="6">
        <v>126.4</v>
      </c>
      <c r="F57" s="6">
        <v>118</v>
      </c>
      <c r="G57" s="6">
        <v>121.6</v>
      </c>
      <c r="H57" s="6">
        <v>103.5</v>
      </c>
      <c r="I57" s="6">
        <v>133.69999999999999</v>
      </c>
      <c r="J57" s="6">
        <v>172.4</v>
      </c>
      <c r="K57" s="6">
        <v>113.1</v>
      </c>
      <c r="L57" s="6">
        <v>102.7</v>
      </c>
      <c r="M57" s="6">
        <v>120</v>
      </c>
      <c r="N57" s="6">
        <v>113.8</v>
      </c>
      <c r="O57" s="6">
        <v>123.4</v>
      </c>
      <c r="P57" s="6">
        <v>127.1</v>
      </c>
      <c r="Q57" s="6">
        <v>121</v>
      </c>
      <c r="R57" s="6">
        <v>118</v>
      </c>
      <c r="S57" s="6">
        <v>113.6</v>
      </c>
      <c r="T57" s="6">
        <v>117.4</v>
      </c>
      <c r="U57" s="6">
        <v>114.8</v>
      </c>
      <c r="V57" s="6">
        <v>111.6</v>
      </c>
      <c r="W57" s="6">
        <v>114.9</v>
      </c>
      <c r="X57" s="6">
        <v>111.5</v>
      </c>
      <c r="Y57" s="6">
        <v>113</v>
      </c>
      <c r="Z57" s="6">
        <v>112.4</v>
      </c>
      <c r="AA57" s="6">
        <v>117.8</v>
      </c>
      <c r="AB57" s="6">
        <v>109.7</v>
      </c>
      <c r="AC57" s="6">
        <v>113.5</v>
      </c>
      <c r="AD57" s="6">
        <v>118.9</v>
      </c>
    </row>
    <row r="58" spans="1:30" x14ac:dyDescent="0.3">
      <c r="A58" s="5" t="s">
        <v>34</v>
      </c>
      <c r="B58" s="5">
        <v>2014</v>
      </c>
      <c r="C58" s="5" t="s">
        <v>40</v>
      </c>
      <c r="D58" s="5">
        <v>122.4</v>
      </c>
      <c r="E58" s="5">
        <v>123.9</v>
      </c>
      <c r="F58" s="5">
        <v>117.8</v>
      </c>
      <c r="G58" s="5">
        <v>121</v>
      </c>
      <c r="H58" s="5">
        <v>107.9</v>
      </c>
      <c r="I58" s="5">
        <v>131.19999999999999</v>
      </c>
      <c r="J58" s="5">
        <v>157.69999999999999</v>
      </c>
      <c r="K58" s="5">
        <v>113.2</v>
      </c>
      <c r="L58" s="5">
        <v>104.1</v>
      </c>
      <c r="M58" s="5">
        <v>115.5</v>
      </c>
      <c r="N58" s="5">
        <v>114.8</v>
      </c>
      <c r="O58" s="5">
        <v>122.1</v>
      </c>
      <c r="P58" s="5">
        <v>124.7</v>
      </c>
      <c r="Q58" s="5">
        <v>118.8</v>
      </c>
      <c r="R58" s="5">
        <v>119.6</v>
      </c>
      <c r="S58" s="5">
        <v>116.3</v>
      </c>
      <c r="T58" s="5">
        <v>119.1</v>
      </c>
      <c r="U58" s="5">
        <v>114.8</v>
      </c>
      <c r="V58" s="5">
        <v>113.9</v>
      </c>
      <c r="W58" s="5">
        <v>115.2</v>
      </c>
      <c r="X58" s="5">
        <v>112.7</v>
      </c>
      <c r="Y58" s="5">
        <v>113.1</v>
      </c>
      <c r="Z58" s="5">
        <v>112.1</v>
      </c>
      <c r="AA58" s="5">
        <v>116.8</v>
      </c>
      <c r="AB58" s="5">
        <v>109.2</v>
      </c>
      <c r="AC58" s="5">
        <v>113.3</v>
      </c>
      <c r="AD58" s="5">
        <v>119.2</v>
      </c>
    </row>
    <row r="59" spans="1:30" x14ac:dyDescent="0.3">
      <c r="A59" s="6" t="s">
        <v>30</v>
      </c>
      <c r="B59" s="6">
        <v>2014</v>
      </c>
      <c r="C59" s="6" t="s">
        <v>41</v>
      </c>
      <c r="D59" s="6">
        <v>121.8</v>
      </c>
      <c r="E59" s="6">
        <v>122.8</v>
      </c>
      <c r="F59" s="6">
        <v>117.8</v>
      </c>
      <c r="G59" s="6">
        <v>121.9</v>
      </c>
      <c r="H59" s="6">
        <v>110.6</v>
      </c>
      <c r="I59" s="6">
        <v>129.69999999999999</v>
      </c>
      <c r="J59" s="6">
        <v>161.1</v>
      </c>
      <c r="K59" s="6">
        <v>114.1</v>
      </c>
      <c r="L59" s="6">
        <v>105.1</v>
      </c>
      <c r="M59" s="6">
        <v>114.6</v>
      </c>
      <c r="N59" s="6">
        <v>115.8</v>
      </c>
      <c r="O59" s="6">
        <v>121.7</v>
      </c>
      <c r="P59" s="6">
        <v>125.3</v>
      </c>
      <c r="Q59" s="6">
        <v>118.8</v>
      </c>
      <c r="R59" s="6">
        <v>120.9</v>
      </c>
      <c r="S59" s="6">
        <v>118.8</v>
      </c>
      <c r="T59" s="6">
        <v>120.7</v>
      </c>
      <c r="U59" s="6" t="s">
        <v>32</v>
      </c>
      <c r="V59" s="6">
        <v>115.4</v>
      </c>
      <c r="W59" s="6">
        <v>115.9</v>
      </c>
      <c r="X59" s="6">
        <v>114</v>
      </c>
      <c r="Y59" s="6">
        <v>113.2</v>
      </c>
      <c r="Z59" s="6">
        <v>112.2</v>
      </c>
      <c r="AA59" s="6">
        <v>116.2</v>
      </c>
      <c r="AB59" s="6">
        <v>109.4</v>
      </c>
      <c r="AC59" s="6">
        <v>113.5</v>
      </c>
      <c r="AD59" s="6">
        <v>120.7</v>
      </c>
    </row>
    <row r="60" spans="1:30" x14ac:dyDescent="0.3">
      <c r="A60" s="5" t="s">
        <v>33</v>
      </c>
      <c r="B60" s="5">
        <v>2014</v>
      </c>
      <c r="C60" s="5" t="s">
        <v>41</v>
      </c>
      <c r="D60" s="5">
        <v>124.8</v>
      </c>
      <c r="E60" s="5">
        <v>127.3</v>
      </c>
      <c r="F60" s="5">
        <v>116.5</v>
      </c>
      <c r="G60" s="5">
        <v>122.2</v>
      </c>
      <c r="H60" s="5">
        <v>103.6</v>
      </c>
      <c r="I60" s="5">
        <v>132.69999999999999</v>
      </c>
      <c r="J60" s="5">
        <v>181.9</v>
      </c>
      <c r="K60" s="5">
        <v>115.2</v>
      </c>
      <c r="L60" s="5">
        <v>102.7</v>
      </c>
      <c r="M60" s="5">
        <v>122.1</v>
      </c>
      <c r="N60" s="5">
        <v>114.4</v>
      </c>
      <c r="O60" s="5">
        <v>124.7</v>
      </c>
      <c r="P60" s="5">
        <v>128.9</v>
      </c>
      <c r="Q60" s="5">
        <v>123</v>
      </c>
      <c r="R60" s="5">
        <v>118.6</v>
      </c>
      <c r="S60" s="5">
        <v>114.1</v>
      </c>
      <c r="T60" s="5">
        <v>117.9</v>
      </c>
      <c r="U60" s="5">
        <v>115.5</v>
      </c>
      <c r="V60" s="5">
        <v>111.8</v>
      </c>
      <c r="W60" s="5">
        <v>115.3</v>
      </c>
      <c r="X60" s="5">
        <v>112.2</v>
      </c>
      <c r="Y60" s="5">
        <v>112.5</v>
      </c>
      <c r="Z60" s="5">
        <v>112.9</v>
      </c>
      <c r="AA60" s="5">
        <v>119.2</v>
      </c>
      <c r="AB60" s="5">
        <v>110.5</v>
      </c>
      <c r="AC60" s="5">
        <v>113.9</v>
      </c>
      <c r="AD60" s="5">
        <v>119.9</v>
      </c>
    </row>
    <row r="61" spans="1:30" x14ac:dyDescent="0.3">
      <c r="A61" s="6" t="s">
        <v>34</v>
      </c>
      <c r="B61" s="6">
        <v>2014</v>
      </c>
      <c r="C61" s="6" t="s">
        <v>41</v>
      </c>
      <c r="D61" s="6">
        <v>122.7</v>
      </c>
      <c r="E61" s="6">
        <v>124.4</v>
      </c>
      <c r="F61" s="6">
        <v>117.3</v>
      </c>
      <c r="G61" s="6">
        <v>122</v>
      </c>
      <c r="H61" s="6">
        <v>108</v>
      </c>
      <c r="I61" s="6">
        <v>131.1</v>
      </c>
      <c r="J61" s="6">
        <v>168.2</v>
      </c>
      <c r="K61" s="6">
        <v>114.5</v>
      </c>
      <c r="L61" s="6">
        <v>104.3</v>
      </c>
      <c r="M61" s="6">
        <v>117.1</v>
      </c>
      <c r="N61" s="6">
        <v>115.2</v>
      </c>
      <c r="O61" s="6">
        <v>123.1</v>
      </c>
      <c r="P61" s="6">
        <v>126.6</v>
      </c>
      <c r="Q61" s="6">
        <v>119.9</v>
      </c>
      <c r="R61" s="6">
        <v>120</v>
      </c>
      <c r="S61" s="6">
        <v>116.8</v>
      </c>
      <c r="T61" s="6">
        <v>119.6</v>
      </c>
      <c r="U61" s="6">
        <v>115.5</v>
      </c>
      <c r="V61" s="6">
        <v>114</v>
      </c>
      <c r="W61" s="6">
        <v>115.6</v>
      </c>
      <c r="X61" s="6">
        <v>113.3</v>
      </c>
      <c r="Y61" s="6">
        <v>112.8</v>
      </c>
      <c r="Z61" s="6">
        <v>112.6</v>
      </c>
      <c r="AA61" s="6">
        <v>118</v>
      </c>
      <c r="AB61" s="6">
        <v>109.9</v>
      </c>
      <c r="AC61" s="6">
        <v>113.7</v>
      </c>
      <c r="AD61" s="6">
        <v>120.3</v>
      </c>
    </row>
    <row r="62" spans="1:30" x14ac:dyDescent="0.3">
      <c r="A62" s="5" t="s">
        <v>30</v>
      </c>
      <c r="B62" s="5">
        <v>2014</v>
      </c>
      <c r="C62" s="5" t="s">
        <v>42</v>
      </c>
      <c r="D62" s="5">
        <v>122.3</v>
      </c>
      <c r="E62" s="5">
        <v>122.4</v>
      </c>
      <c r="F62" s="5">
        <v>117.8</v>
      </c>
      <c r="G62" s="5">
        <v>122.7</v>
      </c>
      <c r="H62" s="5">
        <v>110.4</v>
      </c>
      <c r="I62" s="5">
        <v>129.80000000000001</v>
      </c>
      <c r="J62" s="5">
        <v>158.80000000000001</v>
      </c>
      <c r="K62" s="5">
        <v>115</v>
      </c>
      <c r="L62" s="5">
        <v>104.7</v>
      </c>
      <c r="M62" s="5">
        <v>114.9</v>
      </c>
      <c r="N62" s="5">
        <v>116.5</v>
      </c>
      <c r="O62" s="5">
        <v>122.6</v>
      </c>
      <c r="P62" s="5">
        <v>125.3</v>
      </c>
      <c r="Q62" s="5">
        <v>119.5</v>
      </c>
      <c r="R62" s="5">
        <v>121.7</v>
      </c>
      <c r="S62" s="5">
        <v>119.2</v>
      </c>
      <c r="T62" s="5">
        <v>121.3</v>
      </c>
      <c r="U62" s="5" t="s">
        <v>32</v>
      </c>
      <c r="V62" s="5">
        <v>115.8</v>
      </c>
      <c r="W62" s="5">
        <v>116.7</v>
      </c>
      <c r="X62" s="5">
        <v>114.5</v>
      </c>
      <c r="Y62" s="5">
        <v>112.8</v>
      </c>
      <c r="Z62" s="5">
        <v>112.6</v>
      </c>
      <c r="AA62" s="5">
        <v>116.6</v>
      </c>
      <c r="AB62" s="5">
        <v>109.1</v>
      </c>
      <c r="AC62" s="5">
        <v>113.7</v>
      </c>
      <c r="AD62" s="5">
        <v>120.9</v>
      </c>
    </row>
    <row r="63" spans="1:30" x14ac:dyDescent="0.3">
      <c r="A63" s="6" t="s">
        <v>33</v>
      </c>
      <c r="B63" s="6">
        <v>2014</v>
      </c>
      <c r="C63" s="6" t="s">
        <v>42</v>
      </c>
      <c r="D63" s="6">
        <v>124.2</v>
      </c>
      <c r="E63" s="6">
        <v>125.4</v>
      </c>
      <c r="F63" s="6">
        <v>116.4</v>
      </c>
      <c r="G63" s="6">
        <v>122.7</v>
      </c>
      <c r="H63" s="6">
        <v>103.5</v>
      </c>
      <c r="I63" s="6">
        <v>124.5</v>
      </c>
      <c r="J63" s="6">
        <v>168.6</v>
      </c>
      <c r="K63" s="6">
        <v>116.9</v>
      </c>
      <c r="L63" s="6">
        <v>101.9</v>
      </c>
      <c r="M63" s="6">
        <v>122.9</v>
      </c>
      <c r="N63" s="6">
        <v>114.8</v>
      </c>
      <c r="O63" s="6">
        <v>125.2</v>
      </c>
      <c r="P63" s="6">
        <v>126.7</v>
      </c>
      <c r="Q63" s="6">
        <v>124.3</v>
      </c>
      <c r="R63" s="6">
        <v>119.2</v>
      </c>
      <c r="S63" s="6">
        <v>114.5</v>
      </c>
      <c r="T63" s="6">
        <v>118.4</v>
      </c>
      <c r="U63" s="6">
        <v>116.1</v>
      </c>
      <c r="V63" s="6">
        <v>111.8</v>
      </c>
      <c r="W63" s="6">
        <v>115.5</v>
      </c>
      <c r="X63" s="6">
        <v>112.3</v>
      </c>
      <c r="Y63" s="6">
        <v>111.2</v>
      </c>
      <c r="Z63" s="6">
        <v>113.4</v>
      </c>
      <c r="AA63" s="6">
        <v>120</v>
      </c>
      <c r="AB63" s="6">
        <v>110</v>
      </c>
      <c r="AC63" s="6">
        <v>113.6</v>
      </c>
      <c r="AD63" s="6">
        <v>119.2</v>
      </c>
    </row>
    <row r="64" spans="1:30" x14ac:dyDescent="0.3">
      <c r="A64" s="5" t="s">
        <v>34</v>
      </c>
      <c r="B64" s="5">
        <v>2014</v>
      </c>
      <c r="C64" s="5" t="s">
        <v>42</v>
      </c>
      <c r="D64" s="5">
        <v>122.9</v>
      </c>
      <c r="E64" s="5">
        <v>123.5</v>
      </c>
      <c r="F64" s="5">
        <v>117.3</v>
      </c>
      <c r="G64" s="5">
        <v>122.7</v>
      </c>
      <c r="H64" s="5">
        <v>107.9</v>
      </c>
      <c r="I64" s="5">
        <v>127.3</v>
      </c>
      <c r="J64" s="5">
        <v>162.1</v>
      </c>
      <c r="K64" s="5">
        <v>115.6</v>
      </c>
      <c r="L64" s="5">
        <v>103.8</v>
      </c>
      <c r="M64" s="5">
        <v>117.6</v>
      </c>
      <c r="N64" s="5">
        <v>115.8</v>
      </c>
      <c r="O64" s="5">
        <v>123.8</v>
      </c>
      <c r="P64" s="5">
        <v>125.8</v>
      </c>
      <c r="Q64" s="5">
        <v>120.8</v>
      </c>
      <c r="R64" s="5">
        <v>120.7</v>
      </c>
      <c r="S64" s="5">
        <v>117.2</v>
      </c>
      <c r="T64" s="5">
        <v>120.1</v>
      </c>
      <c r="U64" s="5">
        <v>116.1</v>
      </c>
      <c r="V64" s="5">
        <v>114.3</v>
      </c>
      <c r="W64" s="5">
        <v>116.1</v>
      </c>
      <c r="X64" s="5">
        <v>113.7</v>
      </c>
      <c r="Y64" s="5">
        <v>112</v>
      </c>
      <c r="Z64" s="5">
        <v>113.1</v>
      </c>
      <c r="AA64" s="5">
        <v>118.6</v>
      </c>
      <c r="AB64" s="5">
        <v>109.5</v>
      </c>
      <c r="AC64" s="5">
        <v>113.7</v>
      </c>
      <c r="AD64" s="5">
        <v>120.1</v>
      </c>
    </row>
    <row r="65" spans="1:30" x14ac:dyDescent="0.3">
      <c r="A65" s="6" t="s">
        <v>30</v>
      </c>
      <c r="B65" s="6">
        <v>2014</v>
      </c>
      <c r="C65" s="6" t="s">
        <v>43</v>
      </c>
      <c r="D65" s="6">
        <v>122.6</v>
      </c>
      <c r="E65" s="6">
        <v>122.5</v>
      </c>
      <c r="F65" s="6">
        <v>118.3</v>
      </c>
      <c r="G65" s="6">
        <v>123.2</v>
      </c>
      <c r="H65" s="6">
        <v>110.5</v>
      </c>
      <c r="I65" s="6">
        <v>128.9</v>
      </c>
      <c r="J65" s="6">
        <v>155.30000000000001</v>
      </c>
      <c r="K65" s="6">
        <v>115.5</v>
      </c>
      <c r="L65" s="6">
        <v>104</v>
      </c>
      <c r="M65" s="6">
        <v>115.3</v>
      </c>
      <c r="N65" s="6">
        <v>116.8</v>
      </c>
      <c r="O65" s="6">
        <v>123.2</v>
      </c>
      <c r="P65" s="6">
        <v>125.1</v>
      </c>
      <c r="Q65" s="6">
        <v>120</v>
      </c>
      <c r="R65" s="6">
        <v>122.7</v>
      </c>
      <c r="S65" s="6">
        <v>120.3</v>
      </c>
      <c r="T65" s="6">
        <v>122.3</v>
      </c>
      <c r="U65" s="6" t="s">
        <v>32</v>
      </c>
      <c r="V65" s="6">
        <v>116.4</v>
      </c>
      <c r="W65" s="6">
        <v>117.5</v>
      </c>
      <c r="X65" s="6">
        <v>115.3</v>
      </c>
      <c r="Y65" s="6">
        <v>112.6</v>
      </c>
      <c r="Z65" s="6">
        <v>113</v>
      </c>
      <c r="AA65" s="6">
        <v>116.9</v>
      </c>
      <c r="AB65" s="6">
        <v>109.3</v>
      </c>
      <c r="AC65" s="6">
        <v>114</v>
      </c>
      <c r="AD65" s="6">
        <v>121</v>
      </c>
    </row>
    <row r="66" spans="1:30" x14ac:dyDescent="0.3">
      <c r="A66" s="5" t="s">
        <v>33</v>
      </c>
      <c r="B66" s="5">
        <v>2014</v>
      </c>
      <c r="C66" s="5" t="s">
        <v>43</v>
      </c>
      <c r="D66" s="5">
        <v>124.6</v>
      </c>
      <c r="E66" s="5">
        <v>126.1</v>
      </c>
      <c r="F66" s="5">
        <v>117.8</v>
      </c>
      <c r="G66" s="5">
        <v>123.1</v>
      </c>
      <c r="H66" s="5">
        <v>103.5</v>
      </c>
      <c r="I66" s="5">
        <v>123.5</v>
      </c>
      <c r="J66" s="5">
        <v>159.6</v>
      </c>
      <c r="K66" s="5">
        <v>117.4</v>
      </c>
      <c r="L66" s="5">
        <v>101.2</v>
      </c>
      <c r="M66" s="5">
        <v>123.8</v>
      </c>
      <c r="N66" s="5">
        <v>115.2</v>
      </c>
      <c r="O66" s="5">
        <v>125.9</v>
      </c>
      <c r="P66" s="5">
        <v>125.8</v>
      </c>
      <c r="Q66" s="5">
        <v>124.3</v>
      </c>
      <c r="R66" s="5">
        <v>119.6</v>
      </c>
      <c r="S66" s="5">
        <v>114.9</v>
      </c>
      <c r="T66" s="5">
        <v>118.9</v>
      </c>
      <c r="U66" s="5">
        <v>116.7</v>
      </c>
      <c r="V66" s="5">
        <v>112</v>
      </c>
      <c r="W66" s="5">
        <v>115.8</v>
      </c>
      <c r="X66" s="5">
        <v>112.6</v>
      </c>
      <c r="Y66" s="5">
        <v>111</v>
      </c>
      <c r="Z66" s="5">
        <v>113.6</v>
      </c>
      <c r="AA66" s="5">
        <v>120.2</v>
      </c>
      <c r="AB66" s="5">
        <v>110.1</v>
      </c>
      <c r="AC66" s="5">
        <v>113.7</v>
      </c>
      <c r="AD66" s="5">
        <v>119.1</v>
      </c>
    </row>
    <row r="67" spans="1:30" x14ac:dyDescent="0.3">
      <c r="A67" s="6" t="s">
        <v>34</v>
      </c>
      <c r="B67" s="6">
        <v>2014</v>
      </c>
      <c r="C67" s="6" t="s">
        <v>43</v>
      </c>
      <c r="D67" s="6">
        <v>123.2</v>
      </c>
      <c r="E67" s="6">
        <v>123.8</v>
      </c>
      <c r="F67" s="6">
        <v>118.1</v>
      </c>
      <c r="G67" s="6">
        <v>123.2</v>
      </c>
      <c r="H67" s="6">
        <v>107.9</v>
      </c>
      <c r="I67" s="6">
        <v>126.4</v>
      </c>
      <c r="J67" s="6">
        <v>156.80000000000001</v>
      </c>
      <c r="K67" s="6">
        <v>116.1</v>
      </c>
      <c r="L67" s="6">
        <v>103.1</v>
      </c>
      <c r="M67" s="6">
        <v>118.1</v>
      </c>
      <c r="N67" s="6">
        <v>116.1</v>
      </c>
      <c r="O67" s="6">
        <v>124.5</v>
      </c>
      <c r="P67" s="6">
        <v>125.4</v>
      </c>
      <c r="Q67" s="6">
        <v>121.1</v>
      </c>
      <c r="R67" s="6">
        <v>121.5</v>
      </c>
      <c r="S67" s="6">
        <v>118.1</v>
      </c>
      <c r="T67" s="6">
        <v>121</v>
      </c>
      <c r="U67" s="6">
        <v>116.7</v>
      </c>
      <c r="V67" s="6">
        <v>114.7</v>
      </c>
      <c r="W67" s="6">
        <v>116.7</v>
      </c>
      <c r="X67" s="6">
        <v>114.3</v>
      </c>
      <c r="Y67" s="6">
        <v>111.8</v>
      </c>
      <c r="Z67" s="6">
        <v>113.3</v>
      </c>
      <c r="AA67" s="6">
        <v>118.8</v>
      </c>
      <c r="AB67" s="6">
        <v>109.6</v>
      </c>
      <c r="AC67" s="6">
        <v>113.9</v>
      </c>
      <c r="AD67" s="6">
        <v>120.1</v>
      </c>
    </row>
    <row r="68" spans="1:30" x14ac:dyDescent="0.3">
      <c r="A68" s="5" t="s">
        <v>30</v>
      </c>
      <c r="B68" s="5">
        <v>2014</v>
      </c>
      <c r="C68" s="5" t="s">
        <v>45</v>
      </c>
      <c r="D68" s="5">
        <v>122.7</v>
      </c>
      <c r="E68" s="5">
        <v>122.6</v>
      </c>
      <c r="F68" s="5">
        <v>119.9</v>
      </c>
      <c r="G68" s="5">
        <v>124</v>
      </c>
      <c r="H68" s="5">
        <v>110.5</v>
      </c>
      <c r="I68" s="5">
        <v>128.80000000000001</v>
      </c>
      <c r="J68" s="5">
        <v>152</v>
      </c>
      <c r="K68" s="5">
        <v>116.2</v>
      </c>
      <c r="L68" s="5">
        <v>103.3</v>
      </c>
      <c r="M68" s="5">
        <v>115.8</v>
      </c>
      <c r="N68" s="5">
        <v>116.8</v>
      </c>
      <c r="O68" s="5">
        <v>124.5</v>
      </c>
      <c r="P68" s="5">
        <v>124.9</v>
      </c>
      <c r="Q68" s="5">
        <v>120.8</v>
      </c>
      <c r="R68" s="5">
        <v>123.3</v>
      </c>
      <c r="S68" s="5">
        <v>120.5</v>
      </c>
      <c r="T68" s="5">
        <v>122.9</v>
      </c>
      <c r="U68" s="5" t="s">
        <v>32</v>
      </c>
      <c r="V68" s="5">
        <v>117.3</v>
      </c>
      <c r="W68" s="5">
        <v>118.1</v>
      </c>
      <c r="X68" s="5">
        <v>115.9</v>
      </c>
      <c r="Y68" s="5">
        <v>112</v>
      </c>
      <c r="Z68" s="5">
        <v>113.3</v>
      </c>
      <c r="AA68" s="5">
        <v>117.2</v>
      </c>
      <c r="AB68" s="5">
        <v>108.8</v>
      </c>
      <c r="AC68" s="5">
        <v>114.1</v>
      </c>
      <c r="AD68" s="5">
        <v>121.1</v>
      </c>
    </row>
    <row r="69" spans="1:30" x14ac:dyDescent="0.3">
      <c r="A69" s="6" t="s">
        <v>33</v>
      </c>
      <c r="B69" s="6">
        <v>2014</v>
      </c>
      <c r="C69" s="6" t="s">
        <v>45</v>
      </c>
      <c r="D69" s="6">
        <v>124.5</v>
      </c>
      <c r="E69" s="6">
        <v>125.6</v>
      </c>
      <c r="F69" s="6">
        <v>122.7</v>
      </c>
      <c r="G69" s="6">
        <v>124.6</v>
      </c>
      <c r="H69" s="6">
        <v>103.2</v>
      </c>
      <c r="I69" s="6">
        <v>122.2</v>
      </c>
      <c r="J69" s="6">
        <v>153.19999999999999</v>
      </c>
      <c r="K69" s="6">
        <v>119.3</v>
      </c>
      <c r="L69" s="6">
        <v>99.8</v>
      </c>
      <c r="M69" s="6">
        <v>124.6</v>
      </c>
      <c r="N69" s="6">
        <v>115.8</v>
      </c>
      <c r="O69" s="6">
        <v>126.9</v>
      </c>
      <c r="P69" s="6">
        <v>125.4</v>
      </c>
      <c r="Q69" s="6">
        <v>125.8</v>
      </c>
      <c r="R69" s="6">
        <v>120.3</v>
      </c>
      <c r="S69" s="6">
        <v>115.4</v>
      </c>
      <c r="T69" s="6">
        <v>119.5</v>
      </c>
      <c r="U69" s="6">
        <v>117.1</v>
      </c>
      <c r="V69" s="6">
        <v>112.6</v>
      </c>
      <c r="W69" s="6">
        <v>116.4</v>
      </c>
      <c r="X69" s="6">
        <v>113</v>
      </c>
      <c r="Y69" s="6">
        <v>109.7</v>
      </c>
      <c r="Z69" s="6">
        <v>114</v>
      </c>
      <c r="AA69" s="6">
        <v>120.3</v>
      </c>
      <c r="AB69" s="6">
        <v>109.6</v>
      </c>
      <c r="AC69" s="6">
        <v>113.4</v>
      </c>
      <c r="AD69" s="6">
        <v>119</v>
      </c>
    </row>
    <row r="70" spans="1:30" x14ac:dyDescent="0.3">
      <c r="A70" s="5" t="s">
        <v>34</v>
      </c>
      <c r="B70" s="5">
        <v>2014</v>
      </c>
      <c r="C70" s="5" t="s">
        <v>45</v>
      </c>
      <c r="D70" s="5">
        <v>123.3</v>
      </c>
      <c r="E70" s="5">
        <v>123.7</v>
      </c>
      <c r="F70" s="5">
        <v>121</v>
      </c>
      <c r="G70" s="5">
        <v>124.2</v>
      </c>
      <c r="H70" s="5">
        <v>107.8</v>
      </c>
      <c r="I70" s="5">
        <v>125.7</v>
      </c>
      <c r="J70" s="5">
        <v>152.4</v>
      </c>
      <c r="K70" s="5">
        <v>117.2</v>
      </c>
      <c r="L70" s="5">
        <v>102.1</v>
      </c>
      <c r="M70" s="5">
        <v>118.7</v>
      </c>
      <c r="N70" s="5">
        <v>116.4</v>
      </c>
      <c r="O70" s="5">
        <v>125.6</v>
      </c>
      <c r="P70" s="5">
        <v>125.1</v>
      </c>
      <c r="Q70" s="5">
        <v>122.1</v>
      </c>
      <c r="R70" s="5">
        <v>122.1</v>
      </c>
      <c r="S70" s="5">
        <v>118.4</v>
      </c>
      <c r="T70" s="5">
        <v>121.6</v>
      </c>
      <c r="U70" s="5">
        <v>117.1</v>
      </c>
      <c r="V70" s="5">
        <v>115.5</v>
      </c>
      <c r="W70" s="5">
        <v>117.3</v>
      </c>
      <c r="X70" s="5">
        <v>114.8</v>
      </c>
      <c r="Y70" s="5">
        <v>110.8</v>
      </c>
      <c r="Z70" s="5">
        <v>113.7</v>
      </c>
      <c r="AA70" s="5">
        <v>119</v>
      </c>
      <c r="AB70" s="5">
        <v>109.1</v>
      </c>
      <c r="AC70" s="5">
        <v>113.8</v>
      </c>
      <c r="AD70" s="5">
        <v>120.1</v>
      </c>
    </row>
    <row r="71" spans="1:30" x14ac:dyDescent="0.3">
      <c r="A71" s="6" t="s">
        <v>30</v>
      </c>
      <c r="B71" s="6">
        <v>2014</v>
      </c>
      <c r="C71" s="6" t="s">
        <v>46</v>
      </c>
      <c r="D71" s="6">
        <v>122.4</v>
      </c>
      <c r="E71" s="6">
        <v>122.4</v>
      </c>
      <c r="F71" s="6">
        <v>121.8</v>
      </c>
      <c r="G71" s="6">
        <v>124.2</v>
      </c>
      <c r="H71" s="6">
        <v>110.2</v>
      </c>
      <c r="I71" s="6">
        <v>128.6</v>
      </c>
      <c r="J71" s="6">
        <v>140.30000000000001</v>
      </c>
      <c r="K71" s="6">
        <v>116.3</v>
      </c>
      <c r="L71" s="6">
        <v>102</v>
      </c>
      <c r="M71" s="6">
        <v>116</v>
      </c>
      <c r="N71" s="6">
        <v>117.3</v>
      </c>
      <c r="O71" s="6">
        <v>124.8</v>
      </c>
      <c r="P71" s="6">
        <v>123.3</v>
      </c>
      <c r="Q71" s="6">
        <v>121.7</v>
      </c>
      <c r="R71" s="6">
        <v>123.8</v>
      </c>
      <c r="S71" s="6">
        <v>120.6</v>
      </c>
      <c r="T71" s="6">
        <v>123.3</v>
      </c>
      <c r="U71" s="6" t="s">
        <v>32</v>
      </c>
      <c r="V71" s="6">
        <v>117.4</v>
      </c>
      <c r="W71" s="6">
        <v>118.2</v>
      </c>
      <c r="X71" s="6">
        <v>116.2</v>
      </c>
      <c r="Y71" s="6">
        <v>111.5</v>
      </c>
      <c r="Z71" s="6">
        <v>113.3</v>
      </c>
      <c r="AA71" s="6">
        <v>117.7</v>
      </c>
      <c r="AB71" s="6">
        <v>109.4</v>
      </c>
      <c r="AC71" s="6">
        <v>114.2</v>
      </c>
      <c r="AD71" s="6">
        <v>120.3</v>
      </c>
    </row>
    <row r="72" spans="1:30" x14ac:dyDescent="0.3">
      <c r="A72" s="5" t="s">
        <v>33</v>
      </c>
      <c r="B72" s="5">
        <v>2014</v>
      </c>
      <c r="C72" s="5" t="s">
        <v>46</v>
      </c>
      <c r="D72" s="5">
        <v>124</v>
      </c>
      <c r="E72" s="5">
        <v>124.7</v>
      </c>
      <c r="F72" s="5">
        <v>126.3</v>
      </c>
      <c r="G72" s="5">
        <v>124.9</v>
      </c>
      <c r="H72" s="5">
        <v>103</v>
      </c>
      <c r="I72" s="5">
        <v>122.3</v>
      </c>
      <c r="J72" s="5">
        <v>141</v>
      </c>
      <c r="K72" s="5">
        <v>120.1</v>
      </c>
      <c r="L72" s="5">
        <v>97.8</v>
      </c>
      <c r="M72" s="5">
        <v>125.4</v>
      </c>
      <c r="N72" s="5">
        <v>116.1</v>
      </c>
      <c r="O72" s="5">
        <v>127.6</v>
      </c>
      <c r="P72" s="5">
        <v>124</v>
      </c>
      <c r="Q72" s="5">
        <v>126.4</v>
      </c>
      <c r="R72" s="5">
        <v>120.7</v>
      </c>
      <c r="S72" s="5">
        <v>115.8</v>
      </c>
      <c r="T72" s="5">
        <v>120</v>
      </c>
      <c r="U72" s="5">
        <v>116.5</v>
      </c>
      <c r="V72" s="5">
        <v>113</v>
      </c>
      <c r="W72" s="5">
        <v>116.8</v>
      </c>
      <c r="X72" s="5">
        <v>113.2</v>
      </c>
      <c r="Y72" s="5">
        <v>108.8</v>
      </c>
      <c r="Z72" s="5">
        <v>114.3</v>
      </c>
      <c r="AA72" s="5">
        <v>120.7</v>
      </c>
      <c r="AB72" s="5">
        <v>110.4</v>
      </c>
      <c r="AC72" s="5">
        <v>113.4</v>
      </c>
      <c r="AD72" s="5">
        <v>118.4</v>
      </c>
    </row>
    <row r="73" spans="1:30" x14ac:dyDescent="0.3">
      <c r="A73" s="6" t="s">
        <v>34</v>
      </c>
      <c r="B73" s="6">
        <v>2014</v>
      </c>
      <c r="C73" s="6" t="s">
        <v>46</v>
      </c>
      <c r="D73" s="6">
        <v>122.9</v>
      </c>
      <c r="E73" s="6">
        <v>123.2</v>
      </c>
      <c r="F73" s="6">
        <v>123.5</v>
      </c>
      <c r="G73" s="6">
        <v>124.5</v>
      </c>
      <c r="H73" s="6">
        <v>107.6</v>
      </c>
      <c r="I73" s="6">
        <v>125.7</v>
      </c>
      <c r="J73" s="6">
        <v>140.5</v>
      </c>
      <c r="K73" s="6">
        <v>117.6</v>
      </c>
      <c r="L73" s="6">
        <v>100.6</v>
      </c>
      <c r="M73" s="6">
        <v>119.1</v>
      </c>
      <c r="N73" s="6">
        <v>116.8</v>
      </c>
      <c r="O73" s="6">
        <v>126.1</v>
      </c>
      <c r="P73" s="6">
        <v>123.6</v>
      </c>
      <c r="Q73" s="6">
        <v>123</v>
      </c>
      <c r="R73" s="6">
        <v>122.6</v>
      </c>
      <c r="S73" s="6">
        <v>118.6</v>
      </c>
      <c r="T73" s="6">
        <v>122</v>
      </c>
      <c r="U73" s="6">
        <v>116.5</v>
      </c>
      <c r="V73" s="6">
        <v>115.7</v>
      </c>
      <c r="W73" s="6">
        <v>117.5</v>
      </c>
      <c r="X73" s="6">
        <v>115.1</v>
      </c>
      <c r="Y73" s="6">
        <v>110.1</v>
      </c>
      <c r="Z73" s="6">
        <v>113.9</v>
      </c>
      <c r="AA73" s="6">
        <v>119.5</v>
      </c>
      <c r="AB73" s="6">
        <v>109.8</v>
      </c>
      <c r="AC73" s="6">
        <v>113.8</v>
      </c>
      <c r="AD73" s="6">
        <v>119.4</v>
      </c>
    </row>
    <row r="74" spans="1:30" x14ac:dyDescent="0.3">
      <c r="A74" s="5" t="s">
        <v>30</v>
      </c>
      <c r="B74" s="5">
        <v>2015</v>
      </c>
      <c r="C74" s="5" t="s">
        <v>31</v>
      </c>
      <c r="D74" s="5">
        <v>123.1</v>
      </c>
      <c r="E74" s="5">
        <v>123.1</v>
      </c>
      <c r="F74" s="5">
        <v>122.1</v>
      </c>
      <c r="G74" s="5">
        <v>124.9</v>
      </c>
      <c r="H74" s="5">
        <v>111</v>
      </c>
      <c r="I74" s="5">
        <v>130.4</v>
      </c>
      <c r="J74" s="5">
        <v>132.30000000000001</v>
      </c>
      <c r="K74" s="5">
        <v>117.2</v>
      </c>
      <c r="L74" s="5">
        <v>100.5</v>
      </c>
      <c r="M74" s="5">
        <v>117.2</v>
      </c>
      <c r="N74" s="5">
        <v>117.9</v>
      </c>
      <c r="O74" s="5">
        <v>125.6</v>
      </c>
      <c r="P74" s="5">
        <v>122.8</v>
      </c>
      <c r="Q74" s="5">
        <v>122.7</v>
      </c>
      <c r="R74" s="5">
        <v>124.4</v>
      </c>
      <c r="S74" s="5">
        <v>121.6</v>
      </c>
      <c r="T74" s="5">
        <v>124</v>
      </c>
      <c r="U74" s="5" t="s">
        <v>32</v>
      </c>
      <c r="V74" s="5">
        <v>118.4</v>
      </c>
      <c r="W74" s="5">
        <v>118.9</v>
      </c>
      <c r="X74" s="5">
        <v>116.6</v>
      </c>
      <c r="Y74" s="5">
        <v>111</v>
      </c>
      <c r="Z74" s="5">
        <v>114</v>
      </c>
      <c r="AA74" s="5">
        <v>118.2</v>
      </c>
      <c r="AB74" s="5">
        <v>110.2</v>
      </c>
      <c r="AC74" s="5">
        <v>114.5</v>
      </c>
      <c r="AD74" s="5">
        <v>120.3</v>
      </c>
    </row>
    <row r="75" spans="1:30" x14ac:dyDescent="0.3">
      <c r="A75" s="6" t="s">
        <v>33</v>
      </c>
      <c r="B75" s="6">
        <v>2015</v>
      </c>
      <c r="C75" s="6" t="s">
        <v>31</v>
      </c>
      <c r="D75" s="6">
        <v>124</v>
      </c>
      <c r="E75" s="6">
        <v>125.5</v>
      </c>
      <c r="F75" s="6">
        <v>126.6</v>
      </c>
      <c r="G75" s="6">
        <v>125.2</v>
      </c>
      <c r="H75" s="6">
        <v>104.3</v>
      </c>
      <c r="I75" s="6">
        <v>121.3</v>
      </c>
      <c r="J75" s="6">
        <v>134.4</v>
      </c>
      <c r="K75" s="6">
        <v>122.9</v>
      </c>
      <c r="L75" s="6">
        <v>96.1</v>
      </c>
      <c r="M75" s="6">
        <v>126.6</v>
      </c>
      <c r="N75" s="6">
        <v>116.5</v>
      </c>
      <c r="O75" s="6">
        <v>128</v>
      </c>
      <c r="P75" s="6">
        <v>123.5</v>
      </c>
      <c r="Q75" s="6">
        <v>127.4</v>
      </c>
      <c r="R75" s="6">
        <v>121</v>
      </c>
      <c r="S75" s="6">
        <v>116.1</v>
      </c>
      <c r="T75" s="6">
        <v>120.2</v>
      </c>
      <c r="U75" s="6">
        <v>117.3</v>
      </c>
      <c r="V75" s="6">
        <v>113.4</v>
      </c>
      <c r="W75" s="6">
        <v>117.2</v>
      </c>
      <c r="X75" s="6">
        <v>113.7</v>
      </c>
      <c r="Y75" s="6">
        <v>107.9</v>
      </c>
      <c r="Z75" s="6">
        <v>114.6</v>
      </c>
      <c r="AA75" s="6">
        <v>120.8</v>
      </c>
      <c r="AB75" s="6">
        <v>111.4</v>
      </c>
      <c r="AC75" s="6">
        <v>113.4</v>
      </c>
      <c r="AD75" s="6">
        <v>118.5</v>
      </c>
    </row>
    <row r="76" spans="1:30" x14ac:dyDescent="0.3">
      <c r="A76" s="5" t="s">
        <v>34</v>
      </c>
      <c r="B76" s="5">
        <v>2015</v>
      </c>
      <c r="C76" s="5" t="s">
        <v>31</v>
      </c>
      <c r="D76" s="5">
        <v>123.4</v>
      </c>
      <c r="E76" s="5">
        <v>123.9</v>
      </c>
      <c r="F76" s="5">
        <v>123.8</v>
      </c>
      <c r="G76" s="5">
        <v>125</v>
      </c>
      <c r="H76" s="5">
        <v>108.5</v>
      </c>
      <c r="I76" s="5">
        <v>126.2</v>
      </c>
      <c r="J76" s="5">
        <v>133</v>
      </c>
      <c r="K76" s="5">
        <v>119.1</v>
      </c>
      <c r="L76" s="5">
        <v>99</v>
      </c>
      <c r="M76" s="5">
        <v>120.3</v>
      </c>
      <c r="N76" s="5">
        <v>117.3</v>
      </c>
      <c r="O76" s="5">
        <v>126.7</v>
      </c>
      <c r="P76" s="5">
        <v>123.1</v>
      </c>
      <c r="Q76" s="5">
        <v>124</v>
      </c>
      <c r="R76" s="5">
        <v>123.1</v>
      </c>
      <c r="S76" s="5">
        <v>119.3</v>
      </c>
      <c r="T76" s="5">
        <v>122.5</v>
      </c>
      <c r="U76" s="5">
        <v>117.3</v>
      </c>
      <c r="V76" s="5">
        <v>116.5</v>
      </c>
      <c r="W76" s="5">
        <v>118.1</v>
      </c>
      <c r="X76" s="5">
        <v>115.5</v>
      </c>
      <c r="Y76" s="5">
        <v>109.4</v>
      </c>
      <c r="Z76" s="5">
        <v>114.3</v>
      </c>
      <c r="AA76" s="5">
        <v>119.7</v>
      </c>
      <c r="AB76" s="5">
        <v>110.7</v>
      </c>
      <c r="AC76" s="5">
        <v>114</v>
      </c>
      <c r="AD76" s="5">
        <v>119.5</v>
      </c>
    </row>
    <row r="77" spans="1:30" x14ac:dyDescent="0.3">
      <c r="A77" s="6" t="s">
        <v>30</v>
      </c>
      <c r="B77" s="6">
        <v>2015</v>
      </c>
      <c r="C77" s="6" t="s">
        <v>35</v>
      </c>
      <c r="D77" s="6">
        <v>123.4</v>
      </c>
      <c r="E77" s="6">
        <v>124.4</v>
      </c>
      <c r="F77" s="6">
        <v>122.1</v>
      </c>
      <c r="G77" s="6">
        <v>125.8</v>
      </c>
      <c r="H77" s="6">
        <v>111.5</v>
      </c>
      <c r="I77" s="6">
        <v>129.4</v>
      </c>
      <c r="J77" s="6">
        <v>128.19999999999999</v>
      </c>
      <c r="K77" s="6">
        <v>118.8</v>
      </c>
      <c r="L77" s="6">
        <v>100</v>
      </c>
      <c r="M77" s="6">
        <v>118.6</v>
      </c>
      <c r="N77" s="6">
        <v>118.8</v>
      </c>
      <c r="O77" s="6">
        <v>126.8</v>
      </c>
      <c r="P77" s="6">
        <v>122.8</v>
      </c>
      <c r="Q77" s="6">
        <v>124.2</v>
      </c>
      <c r="R77" s="6">
        <v>125.4</v>
      </c>
      <c r="S77" s="6">
        <v>122.7</v>
      </c>
      <c r="T77" s="6">
        <v>125</v>
      </c>
      <c r="U77" s="6" t="s">
        <v>32</v>
      </c>
      <c r="V77" s="6">
        <v>120</v>
      </c>
      <c r="W77" s="6">
        <v>119.6</v>
      </c>
      <c r="X77" s="6">
        <v>117.7</v>
      </c>
      <c r="Y77" s="6">
        <v>110.9</v>
      </c>
      <c r="Z77" s="6">
        <v>114.8</v>
      </c>
      <c r="AA77" s="6">
        <v>118.7</v>
      </c>
      <c r="AB77" s="6">
        <v>110.8</v>
      </c>
      <c r="AC77" s="6">
        <v>115</v>
      </c>
      <c r="AD77" s="6">
        <v>120.6</v>
      </c>
    </row>
    <row r="78" spans="1:30" x14ac:dyDescent="0.3">
      <c r="A78" s="5" t="s">
        <v>33</v>
      </c>
      <c r="B78" s="5">
        <v>2015</v>
      </c>
      <c r="C78" s="5" t="s">
        <v>35</v>
      </c>
      <c r="D78" s="5">
        <v>124.3</v>
      </c>
      <c r="E78" s="5">
        <v>126.5</v>
      </c>
      <c r="F78" s="5">
        <v>119.5</v>
      </c>
      <c r="G78" s="5">
        <v>125.6</v>
      </c>
      <c r="H78" s="5">
        <v>104.9</v>
      </c>
      <c r="I78" s="5">
        <v>121.6</v>
      </c>
      <c r="J78" s="5">
        <v>131.80000000000001</v>
      </c>
      <c r="K78" s="5">
        <v>125.1</v>
      </c>
      <c r="L78" s="5">
        <v>95</v>
      </c>
      <c r="M78" s="5">
        <v>127.7</v>
      </c>
      <c r="N78" s="5">
        <v>116.8</v>
      </c>
      <c r="O78" s="5">
        <v>128.6</v>
      </c>
      <c r="P78" s="5">
        <v>123.7</v>
      </c>
      <c r="Q78" s="5">
        <v>128.1</v>
      </c>
      <c r="R78" s="5">
        <v>121.3</v>
      </c>
      <c r="S78" s="5">
        <v>116.5</v>
      </c>
      <c r="T78" s="5">
        <v>120.6</v>
      </c>
      <c r="U78" s="5">
        <v>118.1</v>
      </c>
      <c r="V78" s="5">
        <v>114</v>
      </c>
      <c r="W78" s="5">
        <v>117.7</v>
      </c>
      <c r="X78" s="5">
        <v>114.1</v>
      </c>
      <c r="Y78" s="5">
        <v>106.8</v>
      </c>
      <c r="Z78" s="5">
        <v>114.9</v>
      </c>
      <c r="AA78" s="5">
        <v>120.4</v>
      </c>
      <c r="AB78" s="5">
        <v>111.7</v>
      </c>
      <c r="AC78" s="5">
        <v>113.2</v>
      </c>
      <c r="AD78" s="5">
        <v>118.7</v>
      </c>
    </row>
    <row r="79" spans="1:30" x14ac:dyDescent="0.3">
      <c r="A79" s="6" t="s">
        <v>34</v>
      </c>
      <c r="B79" s="6">
        <v>2015</v>
      </c>
      <c r="C79" s="6" t="s">
        <v>35</v>
      </c>
      <c r="D79" s="6">
        <v>123.7</v>
      </c>
      <c r="E79" s="6">
        <v>125.1</v>
      </c>
      <c r="F79" s="6">
        <v>121.1</v>
      </c>
      <c r="G79" s="6">
        <v>125.7</v>
      </c>
      <c r="H79" s="6">
        <v>109.1</v>
      </c>
      <c r="I79" s="6">
        <v>125.8</v>
      </c>
      <c r="J79" s="6">
        <v>129.4</v>
      </c>
      <c r="K79" s="6">
        <v>120.9</v>
      </c>
      <c r="L79" s="6">
        <v>98.3</v>
      </c>
      <c r="M79" s="6">
        <v>121.6</v>
      </c>
      <c r="N79" s="6">
        <v>118</v>
      </c>
      <c r="O79" s="6">
        <v>127.6</v>
      </c>
      <c r="P79" s="6">
        <v>123.1</v>
      </c>
      <c r="Q79" s="6">
        <v>125.2</v>
      </c>
      <c r="R79" s="6">
        <v>123.8</v>
      </c>
      <c r="S79" s="6">
        <v>120.1</v>
      </c>
      <c r="T79" s="6">
        <v>123.3</v>
      </c>
      <c r="U79" s="6">
        <v>118.1</v>
      </c>
      <c r="V79" s="6">
        <v>117.7</v>
      </c>
      <c r="W79" s="6">
        <v>118.7</v>
      </c>
      <c r="X79" s="6">
        <v>116.3</v>
      </c>
      <c r="Y79" s="6">
        <v>108.7</v>
      </c>
      <c r="Z79" s="6">
        <v>114.9</v>
      </c>
      <c r="AA79" s="6">
        <v>119.7</v>
      </c>
      <c r="AB79" s="6">
        <v>111.2</v>
      </c>
      <c r="AC79" s="6">
        <v>114.1</v>
      </c>
      <c r="AD79" s="6">
        <v>119.7</v>
      </c>
    </row>
    <row r="80" spans="1:30" x14ac:dyDescent="0.3">
      <c r="A80" s="5" t="s">
        <v>30</v>
      </c>
      <c r="B80" s="5">
        <v>2015</v>
      </c>
      <c r="C80" s="5" t="s">
        <v>36</v>
      </c>
      <c r="D80" s="5">
        <v>123.3</v>
      </c>
      <c r="E80" s="5">
        <v>124.7</v>
      </c>
      <c r="F80" s="5">
        <v>118.9</v>
      </c>
      <c r="G80" s="5">
        <v>126</v>
      </c>
      <c r="H80" s="5">
        <v>111.8</v>
      </c>
      <c r="I80" s="5">
        <v>130.9</v>
      </c>
      <c r="J80" s="5">
        <v>128</v>
      </c>
      <c r="K80" s="5">
        <v>119.9</v>
      </c>
      <c r="L80" s="5">
        <v>98.9</v>
      </c>
      <c r="M80" s="5">
        <v>119.4</v>
      </c>
      <c r="N80" s="5">
        <v>118.9</v>
      </c>
      <c r="O80" s="5">
        <v>127.7</v>
      </c>
      <c r="P80" s="5">
        <v>123.1</v>
      </c>
      <c r="Q80" s="5">
        <v>124.7</v>
      </c>
      <c r="R80" s="5">
        <v>126</v>
      </c>
      <c r="S80" s="5">
        <v>122.9</v>
      </c>
      <c r="T80" s="5">
        <v>125.5</v>
      </c>
      <c r="U80" s="5" t="s">
        <v>32</v>
      </c>
      <c r="V80" s="5">
        <v>120.6</v>
      </c>
      <c r="W80" s="5">
        <v>120.2</v>
      </c>
      <c r="X80" s="5">
        <v>118.2</v>
      </c>
      <c r="Y80" s="5">
        <v>111.6</v>
      </c>
      <c r="Z80" s="5">
        <v>115.5</v>
      </c>
      <c r="AA80" s="5">
        <v>119.4</v>
      </c>
      <c r="AB80" s="5">
        <v>110.8</v>
      </c>
      <c r="AC80" s="5">
        <v>115.5</v>
      </c>
      <c r="AD80" s="5">
        <v>121.1</v>
      </c>
    </row>
    <row r="81" spans="1:30" x14ac:dyDescent="0.3">
      <c r="A81" s="6" t="s">
        <v>33</v>
      </c>
      <c r="B81" s="6">
        <v>2015</v>
      </c>
      <c r="C81" s="6" t="s">
        <v>36</v>
      </c>
      <c r="D81" s="6">
        <v>124</v>
      </c>
      <c r="E81" s="6">
        <v>126.7</v>
      </c>
      <c r="F81" s="6">
        <v>113.5</v>
      </c>
      <c r="G81" s="6">
        <v>125.9</v>
      </c>
      <c r="H81" s="6">
        <v>104.8</v>
      </c>
      <c r="I81" s="6">
        <v>123.8</v>
      </c>
      <c r="J81" s="6">
        <v>131.4</v>
      </c>
      <c r="K81" s="6">
        <v>127.2</v>
      </c>
      <c r="L81" s="6">
        <v>93.2</v>
      </c>
      <c r="M81" s="6">
        <v>127.4</v>
      </c>
      <c r="N81" s="6">
        <v>117</v>
      </c>
      <c r="O81" s="6">
        <v>129.19999999999999</v>
      </c>
      <c r="P81" s="6">
        <v>123.9</v>
      </c>
      <c r="Q81" s="6">
        <v>128.80000000000001</v>
      </c>
      <c r="R81" s="6">
        <v>121.7</v>
      </c>
      <c r="S81" s="6">
        <v>116.9</v>
      </c>
      <c r="T81" s="6">
        <v>120.9</v>
      </c>
      <c r="U81" s="6">
        <v>118.6</v>
      </c>
      <c r="V81" s="6">
        <v>114.4</v>
      </c>
      <c r="W81" s="6">
        <v>118</v>
      </c>
      <c r="X81" s="6">
        <v>114.3</v>
      </c>
      <c r="Y81" s="6">
        <v>108.4</v>
      </c>
      <c r="Z81" s="6">
        <v>115.4</v>
      </c>
      <c r="AA81" s="6">
        <v>120.6</v>
      </c>
      <c r="AB81" s="6">
        <v>111.3</v>
      </c>
      <c r="AC81" s="6">
        <v>113.8</v>
      </c>
      <c r="AD81" s="6">
        <v>119.1</v>
      </c>
    </row>
    <row r="82" spans="1:30" x14ac:dyDescent="0.3">
      <c r="A82" s="5" t="s">
        <v>34</v>
      </c>
      <c r="B82" s="5">
        <v>2015</v>
      </c>
      <c r="C82" s="5" t="s">
        <v>36</v>
      </c>
      <c r="D82" s="5">
        <v>123.5</v>
      </c>
      <c r="E82" s="5">
        <v>125.4</v>
      </c>
      <c r="F82" s="5">
        <v>116.8</v>
      </c>
      <c r="G82" s="5">
        <v>126</v>
      </c>
      <c r="H82" s="5">
        <v>109.2</v>
      </c>
      <c r="I82" s="5">
        <v>127.6</v>
      </c>
      <c r="J82" s="5">
        <v>129.19999999999999</v>
      </c>
      <c r="K82" s="5">
        <v>122.4</v>
      </c>
      <c r="L82" s="5">
        <v>97</v>
      </c>
      <c r="M82" s="5">
        <v>122.1</v>
      </c>
      <c r="N82" s="5">
        <v>118.1</v>
      </c>
      <c r="O82" s="5">
        <v>128.4</v>
      </c>
      <c r="P82" s="5">
        <v>123.4</v>
      </c>
      <c r="Q82" s="5">
        <v>125.8</v>
      </c>
      <c r="R82" s="5">
        <v>124.3</v>
      </c>
      <c r="S82" s="5">
        <v>120.4</v>
      </c>
      <c r="T82" s="5">
        <v>123.7</v>
      </c>
      <c r="U82" s="5">
        <v>118.6</v>
      </c>
      <c r="V82" s="5">
        <v>118.3</v>
      </c>
      <c r="W82" s="5">
        <v>119.2</v>
      </c>
      <c r="X82" s="5">
        <v>116.7</v>
      </c>
      <c r="Y82" s="5">
        <v>109.9</v>
      </c>
      <c r="Z82" s="5">
        <v>115.4</v>
      </c>
      <c r="AA82" s="5">
        <v>120.1</v>
      </c>
      <c r="AB82" s="5">
        <v>111</v>
      </c>
      <c r="AC82" s="5">
        <v>114.7</v>
      </c>
      <c r="AD82" s="5">
        <v>120.2</v>
      </c>
    </row>
    <row r="83" spans="1:30" x14ac:dyDescent="0.3">
      <c r="A83" s="6" t="s">
        <v>30</v>
      </c>
      <c r="B83" s="6">
        <v>2015</v>
      </c>
      <c r="C83" s="6" t="s">
        <v>37</v>
      </c>
      <c r="D83" s="6">
        <v>123.3</v>
      </c>
      <c r="E83" s="6">
        <v>125.5</v>
      </c>
      <c r="F83" s="6">
        <v>117.2</v>
      </c>
      <c r="G83" s="6">
        <v>126.8</v>
      </c>
      <c r="H83" s="6">
        <v>111.9</v>
      </c>
      <c r="I83" s="6">
        <v>134.19999999999999</v>
      </c>
      <c r="J83" s="6">
        <v>127.5</v>
      </c>
      <c r="K83" s="6">
        <v>121.5</v>
      </c>
      <c r="L83" s="6">
        <v>97.8</v>
      </c>
      <c r="M83" s="6">
        <v>119.8</v>
      </c>
      <c r="N83" s="6">
        <v>119.4</v>
      </c>
      <c r="O83" s="6">
        <v>128.69999999999999</v>
      </c>
      <c r="P83" s="6">
        <v>123.6</v>
      </c>
      <c r="Q83" s="6">
        <v>125.7</v>
      </c>
      <c r="R83" s="6">
        <v>126.4</v>
      </c>
      <c r="S83" s="6">
        <v>123.3</v>
      </c>
      <c r="T83" s="6">
        <v>126</v>
      </c>
      <c r="U83" s="6" t="s">
        <v>32</v>
      </c>
      <c r="V83" s="6">
        <v>121.2</v>
      </c>
      <c r="W83" s="6">
        <v>120.9</v>
      </c>
      <c r="X83" s="6">
        <v>118.6</v>
      </c>
      <c r="Y83" s="6">
        <v>111.9</v>
      </c>
      <c r="Z83" s="6">
        <v>116.2</v>
      </c>
      <c r="AA83" s="6">
        <v>119.9</v>
      </c>
      <c r="AB83" s="6">
        <v>111.6</v>
      </c>
      <c r="AC83" s="6">
        <v>116</v>
      </c>
      <c r="AD83" s="6">
        <v>121.5</v>
      </c>
    </row>
    <row r="84" spans="1:30" x14ac:dyDescent="0.3">
      <c r="A84" s="5" t="s">
        <v>33</v>
      </c>
      <c r="B84" s="5">
        <v>2015</v>
      </c>
      <c r="C84" s="5" t="s">
        <v>37</v>
      </c>
      <c r="D84" s="5">
        <v>123.8</v>
      </c>
      <c r="E84" s="5">
        <v>128.19999999999999</v>
      </c>
      <c r="F84" s="5">
        <v>110</v>
      </c>
      <c r="G84" s="5">
        <v>126.3</v>
      </c>
      <c r="H84" s="5">
        <v>104.5</v>
      </c>
      <c r="I84" s="5">
        <v>130.6</v>
      </c>
      <c r="J84" s="5">
        <v>130.80000000000001</v>
      </c>
      <c r="K84" s="5">
        <v>131.30000000000001</v>
      </c>
      <c r="L84" s="5">
        <v>91.6</v>
      </c>
      <c r="M84" s="5">
        <v>127.7</v>
      </c>
      <c r="N84" s="5">
        <v>117.2</v>
      </c>
      <c r="O84" s="5">
        <v>129.5</v>
      </c>
      <c r="P84" s="5">
        <v>124.6</v>
      </c>
      <c r="Q84" s="5">
        <v>130.1</v>
      </c>
      <c r="R84" s="5">
        <v>122.1</v>
      </c>
      <c r="S84" s="5">
        <v>117.2</v>
      </c>
      <c r="T84" s="5">
        <v>121.3</v>
      </c>
      <c r="U84" s="5">
        <v>119.2</v>
      </c>
      <c r="V84" s="5">
        <v>114.7</v>
      </c>
      <c r="W84" s="5">
        <v>118.4</v>
      </c>
      <c r="X84" s="5">
        <v>114.6</v>
      </c>
      <c r="Y84" s="5">
        <v>108.4</v>
      </c>
      <c r="Z84" s="5">
        <v>115.6</v>
      </c>
      <c r="AA84" s="5">
        <v>121.7</v>
      </c>
      <c r="AB84" s="5">
        <v>111.8</v>
      </c>
      <c r="AC84" s="5">
        <v>114.2</v>
      </c>
      <c r="AD84" s="5">
        <v>119.7</v>
      </c>
    </row>
    <row r="85" spans="1:30" x14ac:dyDescent="0.3">
      <c r="A85" s="6" t="s">
        <v>34</v>
      </c>
      <c r="B85" s="6">
        <v>2015</v>
      </c>
      <c r="C85" s="6" t="s">
        <v>37</v>
      </c>
      <c r="D85" s="6">
        <v>123.5</v>
      </c>
      <c r="E85" s="6">
        <v>126.4</v>
      </c>
      <c r="F85" s="6">
        <v>114.4</v>
      </c>
      <c r="G85" s="6">
        <v>126.6</v>
      </c>
      <c r="H85" s="6">
        <v>109.2</v>
      </c>
      <c r="I85" s="6">
        <v>132.5</v>
      </c>
      <c r="J85" s="6">
        <v>128.6</v>
      </c>
      <c r="K85" s="6">
        <v>124.8</v>
      </c>
      <c r="L85" s="6">
        <v>95.7</v>
      </c>
      <c r="M85" s="6">
        <v>122.4</v>
      </c>
      <c r="N85" s="6">
        <v>118.5</v>
      </c>
      <c r="O85" s="6">
        <v>129.1</v>
      </c>
      <c r="P85" s="6">
        <v>124</v>
      </c>
      <c r="Q85" s="6">
        <v>126.9</v>
      </c>
      <c r="R85" s="6">
        <v>124.7</v>
      </c>
      <c r="S85" s="6">
        <v>120.8</v>
      </c>
      <c r="T85" s="6">
        <v>124.1</v>
      </c>
      <c r="U85" s="6">
        <v>119.2</v>
      </c>
      <c r="V85" s="6">
        <v>118.7</v>
      </c>
      <c r="W85" s="6">
        <v>119.7</v>
      </c>
      <c r="X85" s="6">
        <v>117.1</v>
      </c>
      <c r="Y85" s="6">
        <v>110.1</v>
      </c>
      <c r="Z85" s="6">
        <v>115.9</v>
      </c>
      <c r="AA85" s="6">
        <v>121</v>
      </c>
      <c r="AB85" s="6">
        <v>111.7</v>
      </c>
      <c r="AC85" s="6">
        <v>115.1</v>
      </c>
      <c r="AD85" s="6">
        <v>120.7</v>
      </c>
    </row>
    <row r="86" spans="1:30" x14ac:dyDescent="0.3">
      <c r="A86" s="5" t="s">
        <v>30</v>
      </c>
      <c r="B86" s="5">
        <v>2015</v>
      </c>
      <c r="C86" s="5" t="s">
        <v>38</v>
      </c>
      <c r="D86" s="5">
        <v>123.5</v>
      </c>
      <c r="E86" s="5">
        <v>127.1</v>
      </c>
      <c r="F86" s="5">
        <v>117.3</v>
      </c>
      <c r="G86" s="5">
        <v>127.7</v>
      </c>
      <c r="H86" s="5">
        <v>112.5</v>
      </c>
      <c r="I86" s="5">
        <v>134.1</v>
      </c>
      <c r="J86" s="5">
        <v>128.5</v>
      </c>
      <c r="K86" s="5">
        <v>124.3</v>
      </c>
      <c r="L86" s="5">
        <v>97.6</v>
      </c>
      <c r="M86" s="5">
        <v>120.7</v>
      </c>
      <c r="N86" s="5">
        <v>120.2</v>
      </c>
      <c r="O86" s="5">
        <v>129.80000000000001</v>
      </c>
      <c r="P86" s="5">
        <v>124.4</v>
      </c>
      <c r="Q86" s="5">
        <v>126.7</v>
      </c>
      <c r="R86" s="5">
        <v>127.3</v>
      </c>
      <c r="S86" s="5">
        <v>124.1</v>
      </c>
      <c r="T86" s="5">
        <v>126.8</v>
      </c>
      <c r="U86" s="5" t="s">
        <v>32</v>
      </c>
      <c r="V86" s="5">
        <v>121.9</v>
      </c>
      <c r="W86" s="5">
        <v>121.5</v>
      </c>
      <c r="X86" s="5">
        <v>119.4</v>
      </c>
      <c r="Y86" s="5">
        <v>113.3</v>
      </c>
      <c r="Z86" s="5">
        <v>116.7</v>
      </c>
      <c r="AA86" s="5">
        <v>120.5</v>
      </c>
      <c r="AB86" s="5">
        <v>112.3</v>
      </c>
      <c r="AC86" s="5">
        <v>116.9</v>
      </c>
      <c r="AD86" s="5">
        <v>122.4</v>
      </c>
    </row>
    <row r="87" spans="1:30" x14ac:dyDescent="0.3">
      <c r="A87" s="6" t="s">
        <v>33</v>
      </c>
      <c r="B87" s="6">
        <v>2015</v>
      </c>
      <c r="C87" s="6" t="s">
        <v>38</v>
      </c>
      <c r="D87" s="6">
        <v>123.8</v>
      </c>
      <c r="E87" s="6">
        <v>129.69999999999999</v>
      </c>
      <c r="F87" s="6">
        <v>111.3</v>
      </c>
      <c r="G87" s="6">
        <v>126.6</v>
      </c>
      <c r="H87" s="6">
        <v>105.2</v>
      </c>
      <c r="I87" s="6">
        <v>130.80000000000001</v>
      </c>
      <c r="J87" s="6">
        <v>135.6</v>
      </c>
      <c r="K87" s="6">
        <v>142.6</v>
      </c>
      <c r="L87" s="6">
        <v>90.8</v>
      </c>
      <c r="M87" s="6">
        <v>128.80000000000001</v>
      </c>
      <c r="N87" s="6">
        <v>117.7</v>
      </c>
      <c r="O87" s="6">
        <v>129.9</v>
      </c>
      <c r="P87" s="6">
        <v>126.1</v>
      </c>
      <c r="Q87" s="6">
        <v>131.30000000000001</v>
      </c>
      <c r="R87" s="6">
        <v>122.4</v>
      </c>
      <c r="S87" s="6">
        <v>117.4</v>
      </c>
      <c r="T87" s="6">
        <v>121.6</v>
      </c>
      <c r="U87" s="6">
        <v>119.6</v>
      </c>
      <c r="V87" s="6">
        <v>114.9</v>
      </c>
      <c r="W87" s="6">
        <v>118.7</v>
      </c>
      <c r="X87" s="6">
        <v>114.9</v>
      </c>
      <c r="Y87" s="6">
        <v>110.8</v>
      </c>
      <c r="Z87" s="6">
        <v>116</v>
      </c>
      <c r="AA87" s="6">
        <v>122</v>
      </c>
      <c r="AB87" s="6">
        <v>112.4</v>
      </c>
      <c r="AC87" s="6">
        <v>115.2</v>
      </c>
      <c r="AD87" s="6">
        <v>120.7</v>
      </c>
    </row>
    <row r="88" spans="1:30" x14ac:dyDescent="0.3">
      <c r="A88" s="5" t="s">
        <v>34</v>
      </c>
      <c r="B88" s="5">
        <v>2015</v>
      </c>
      <c r="C88" s="5" t="s">
        <v>38</v>
      </c>
      <c r="D88" s="5">
        <v>123.6</v>
      </c>
      <c r="E88" s="5">
        <v>128</v>
      </c>
      <c r="F88" s="5">
        <v>115</v>
      </c>
      <c r="G88" s="5">
        <v>127.3</v>
      </c>
      <c r="H88" s="5">
        <v>109.8</v>
      </c>
      <c r="I88" s="5">
        <v>132.6</v>
      </c>
      <c r="J88" s="5">
        <v>130.9</v>
      </c>
      <c r="K88" s="5">
        <v>130.5</v>
      </c>
      <c r="L88" s="5">
        <v>95.3</v>
      </c>
      <c r="M88" s="5">
        <v>123.4</v>
      </c>
      <c r="N88" s="5">
        <v>119.2</v>
      </c>
      <c r="O88" s="5">
        <v>129.80000000000001</v>
      </c>
      <c r="P88" s="5">
        <v>125</v>
      </c>
      <c r="Q88" s="5">
        <v>127.9</v>
      </c>
      <c r="R88" s="5">
        <v>125.4</v>
      </c>
      <c r="S88" s="5">
        <v>121.3</v>
      </c>
      <c r="T88" s="5">
        <v>124.7</v>
      </c>
      <c r="U88" s="5">
        <v>119.6</v>
      </c>
      <c r="V88" s="5">
        <v>119.2</v>
      </c>
      <c r="W88" s="5">
        <v>120.2</v>
      </c>
      <c r="X88" s="5">
        <v>117.7</v>
      </c>
      <c r="Y88" s="5">
        <v>112</v>
      </c>
      <c r="Z88" s="5">
        <v>116.3</v>
      </c>
      <c r="AA88" s="5">
        <v>121.4</v>
      </c>
      <c r="AB88" s="5">
        <v>112.3</v>
      </c>
      <c r="AC88" s="5">
        <v>116.1</v>
      </c>
      <c r="AD88" s="5">
        <v>121.6</v>
      </c>
    </row>
    <row r="89" spans="1:30" x14ac:dyDescent="0.3">
      <c r="A89" s="6" t="s">
        <v>30</v>
      </c>
      <c r="B89" s="6">
        <v>2015</v>
      </c>
      <c r="C89" s="6" t="s">
        <v>39</v>
      </c>
      <c r="D89" s="6">
        <v>124.1</v>
      </c>
      <c r="E89" s="6">
        <v>130.4</v>
      </c>
      <c r="F89" s="6">
        <v>122.1</v>
      </c>
      <c r="G89" s="6">
        <v>128.69999999999999</v>
      </c>
      <c r="H89" s="6">
        <v>114.1</v>
      </c>
      <c r="I89" s="6">
        <v>133.19999999999999</v>
      </c>
      <c r="J89" s="6">
        <v>135.19999999999999</v>
      </c>
      <c r="K89" s="6">
        <v>131.9</v>
      </c>
      <c r="L89" s="6">
        <v>96.3</v>
      </c>
      <c r="M89" s="6">
        <v>123</v>
      </c>
      <c r="N89" s="6">
        <v>121.1</v>
      </c>
      <c r="O89" s="6">
        <v>131.19999999999999</v>
      </c>
      <c r="P89" s="6">
        <v>126.6</v>
      </c>
      <c r="Q89" s="6">
        <v>128.19999999999999</v>
      </c>
      <c r="R89" s="6">
        <v>128.4</v>
      </c>
      <c r="S89" s="6">
        <v>125.1</v>
      </c>
      <c r="T89" s="6">
        <v>128</v>
      </c>
      <c r="U89" s="6" t="s">
        <v>32</v>
      </c>
      <c r="V89" s="6">
        <v>122.6</v>
      </c>
      <c r="W89" s="6">
        <v>122.8</v>
      </c>
      <c r="X89" s="6">
        <v>120.4</v>
      </c>
      <c r="Y89" s="6">
        <v>114.2</v>
      </c>
      <c r="Z89" s="6">
        <v>117.9</v>
      </c>
      <c r="AA89" s="6">
        <v>122</v>
      </c>
      <c r="AB89" s="6">
        <v>113</v>
      </c>
      <c r="AC89" s="6">
        <v>117.9</v>
      </c>
      <c r="AD89" s="6">
        <v>124.1</v>
      </c>
    </row>
    <row r="90" spans="1:30" x14ac:dyDescent="0.3">
      <c r="A90" s="5" t="s">
        <v>33</v>
      </c>
      <c r="B90" s="5">
        <v>2015</v>
      </c>
      <c r="C90" s="5" t="s">
        <v>39</v>
      </c>
      <c r="D90" s="5">
        <v>123.6</v>
      </c>
      <c r="E90" s="5">
        <v>134.4</v>
      </c>
      <c r="F90" s="5">
        <v>120.9</v>
      </c>
      <c r="G90" s="5">
        <v>127.3</v>
      </c>
      <c r="H90" s="5">
        <v>106</v>
      </c>
      <c r="I90" s="5">
        <v>132.30000000000001</v>
      </c>
      <c r="J90" s="5">
        <v>146.69999999999999</v>
      </c>
      <c r="K90" s="5">
        <v>148.1</v>
      </c>
      <c r="L90" s="5">
        <v>89.8</v>
      </c>
      <c r="M90" s="5">
        <v>130.5</v>
      </c>
      <c r="N90" s="5">
        <v>118</v>
      </c>
      <c r="O90" s="5">
        <v>130.5</v>
      </c>
      <c r="P90" s="5">
        <v>128.5</v>
      </c>
      <c r="Q90" s="5">
        <v>132.1</v>
      </c>
      <c r="R90" s="5">
        <v>123.2</v>
      </c>
      <c r="S90" s="5">
        <v>117.6</v>
      </c>
      <c r="T90" s="5">
        <v>122.3</v>
      </c>
      <c r="U90" s="5">
        <v>119</v>
      </c>
      <c r="V90" s="5">
        <v>115.1</v>
      </c>
      <c r="W90" s="5">
        <v>119.2</v>
      </c>
      <c r="X90" s="5">
        <v>115.4</v>
      </c>
      <c r="Y90" s="5">
        <v>111.7</v>
      </c>
      <c r="Z90" s="5">
        <v>116.2</v>
      </c>
      <c r="AA90" s="5">
        <v>123.8</v>
      </c>
      <c r="AB90" s="5">
        <v>112.5</v>
      </c>
      <c r="AC90" s="5">
        <v>116</v>
      </c>
      <c r="AD90" s="5">
        <v>121.7</v>
      </c>
    </row>
    <row r="91" spans="1:30" x14ac:dyDescent="0.3">
      <c r="A91" s="6" t="s">
        <v>34</v>
      </c>
      <c r="B91" s="6">
        <v>2015</v>
      </c>
      <c r="C91" s="6" t="s">
        <v>39</v>
      </c>
      <c r="D91" s="6">
        <v>123.9</v>
      </c>
      <c r="E91" s="6">
        <v>131.80000000000001</v>
      </c>
      <c r="F91" s="6">
        <v>121.6</v>
      </c>
      <c r="G91" s="6">
        <v>128.19999999999999</v>
      </c>
      <c r="H91" s="6">
        <v>111.1</v>
      </c>
      <c r="I91" s="6">
        <v>132.80000000000001</v>
      </c>
      <c r="J91" s="6">
        <v>139.1</v>
      </c>
      <c r="K91" s="6">
        <v>137.4</v>
      </c>
      <c r="L91" s="6">
        <v>94.1</v>
      </c>
      <c r="M91" s="6">
        <v>125.5</v>
      </c>
      <c r="N91" s="6">
        <v>119.8</v>
      </c>
      <c r="O91" s="6">
        <v>130.9</v>
      </c>
      <c r="P91" s="6">
        <v>127.3</v>
      </c>
      <c r="Q91" s="6">
        <v>129.19999999999999</v>
      </c>
      <c r="R91" s="6">
        <v>126.4</v>
      </c>
      <c r="S91" s="6">
        <v>122</v>
      </c>
      <c r="T91" s="6">
        <v>125.7</v>
      </c>
      <c r="U91" s="6">
        <v>119</v>
      </c>
      <c r="V91" s="6">
        <v>119.8</v>
      </c>
      <c r="W91" s="6">
        <v>121.1</v>
      </c>
      <c r="X91" s="6">
        <v>118.5</v>
      </c>
      <c r="Y91" s="6">
        <v>112.9</v>
      </c>
      <c r="Z91" s="6">
        <v>116.9</v>
      </c>
      <c r="AA91" s="6">
        <v>123.1</v>
      </c>
      <c r="AB91" s="6">
        <v>112.8</v>
      </c>
      <c r="AC91" s="6">
        <v>117</v>
      </c>
      <c r="AD91" s="6">
        <v>123</v>
      </c>
    </row>
    <row r="92" spans="1:30" x14ac:dyDescent="0.3">
      <c r="A92" s="5" t="s">
        <v>30</v>
      </c>
      <c r="B92" s="5">
        <v>2015</v>
      </c>
      <c r="C92" s="5" t="s">
        <v>40</v>
      </c>
      <c r="D92" s="5">
        <v>124</v>
      </c>
      <c r="E92" s="5">
        <v>131.5</v>
      </c>
      <c r="F92" s="5">
        <v>122</v>
      </c>
      <c r="G92" s="5">
        <v>128.69999999999999</v>
      </c>
      <c r="H92" s="5">
        <v>113.5</v>
      </c>
      <c r="I92" s="5">
        <v>133.30000000000001</v>
      </c>
      <c r="J92" s="5">
        <v>140.80000000000001</v>
      </c>
      <c r="K92" s="5">
        <v>133.80000000000001</v>
      </c>
      <c r="L92" s="5">
        <v>94.1</v>
      </c>
      <c r="M92" s="5">
        <v>123.4</v>
      </c>
      <c r="N92" s="5">
        <v>121</v>
      </c>
      <c r="O92" s="5">
        <v>131.69999999999999</v>
      </c>
      <c r="P92" s="5">
        <v>127.5</v>
      </c>
      <c r="Q92" s="5">
        <v>129.4</v>
      </c>
      <c r="R92" s="5">
        <v>128.80000000000001</v>
      </c>
      <c r="S92" s="5">
        <v>125.5</v>
      </c>
      <c r="T92" s="5">
        <v>128.30000000000001</v>
      </c>
      <c r="U92" s="5" t="s">
        <v>32</v>
      </c>
      <c r="V92" s="5">
        <v>123</v>
      </c>
      <c r="W92" s="5">
        <v>123</v>
      </c>
      <c r="X92" s="5">
        <v>120.8</v>
      </c>
      <c r="Y92" s="5">
        <v>114.1</v>
      </c>
      <c r="Z92" s="5">
        <v>118</v>
      </c>
      <c r="AA92" s="5">
        <v>122.9</v>
      </c>
      <c r="AB92" s="5">
        <v>112.7</v>
      </c>
      <c r="AC92" s="5">
        <v>118.1</v>
      </c>
      <c r="AD92" s="5">
        <v>124.7</v>
      </c>
    </row>
    <row r="93" spans="1:30" x14ac:dyDescent="0.3">
      <c r="A93" s="6" t="s">
        <v>33</v>
      </c>
      <c r="B93" s="6">
        <v>2015</v>
      </c>
      <c r="C93" s="6" t="s">
        <v>40</v>
      </c>
      <c r="D93" s="6">
        <v>123.2</v>
      </c>
      <c r="E93" s="6">
        <v>134.30000000000001</v>
      </c>
      <c r="F93" s="6">
        <v>119.5</v>
      </c>
      <c r="G93" s="6">
        <v>127.7</v>
      </c>
      <c r="H93" s="6">
        <v>106.3</v>
      </c>
      <c r="I93" s="6">
        <v>132.80000000000001</v>
      </c>
      <c r="J93" s="6">
        <v>153.5</v>
      </c>
      <c r="K93" s="6">
        <v>149.5</v>
      </c>
      <c r="L93" s="6">
        <v>85.7</v>
      </c>
      <c r="M93" s="6">
        <v>131.5</v>
      </c>
      <c r="N93" s="6">
        <v>118.3</v>
      </c>
      <c r="O93" s="6">
        <v>131.1</v>
      </c>
      <c r="P93" s="6">
        <v>129.5</v>
      </c>
      <c r="Q93" s="6">
        <v>133.1</v>
      </c>
      <c r="R93" s="6">
        <v>123.5</v>
      </c>
      <c r="S93" s="6">
        <v>117.9</v>
      </c>
      <c r="T93" s="6">
        <v>122.7</v>
      </c>
      <c r="U93" s="6">
        <v>119.9</v>
      </c>
      <c r="V93" s="6">
        <v>115.3</v>
      </c>
      <c r="W93" s="6">
        <v>119.5</v>
      </c>
      <c r="X93" s="6">
        <v>116</v>
      </c>
      <c r="Y93" s="6">
        <v>111.5</v>
      </c>
      <c r="Z93" s="6">
        <v>116.6</v>
      </c>
      <c r="AA93" s="6">
        <v>125.4</v>
      </c>
      <c r="AB93" s="6">
        <v>111.7</v>
      </c>
      <c r="AC93" s="6">
        <v>116.3</v>
      </c>
      <c r="AD93" s="6">
        <v>122.4</v>
      </c>
    </row>
    <row r="94" spans="1:30" x14ac:dyDescent="0.3">
      <c r="A94" s="5" t="s">
        <v>34</v>
      </c>
      <c r="B94" s="5">
        <v>2015</v>
      </c>
      <c r="C94" s="5" t="s">
        <v>40</v>
      </c>
      <c r="D94" s="5">
        <v>123.7</v>
      </c>
      <c r="E94" s="5">
        <v>132.5</v>
      </c>
      <c r="F94" s="5">
        <v>121</v>
      </c>
      <c r="G94" s="5">
        <v>128.30000000000001</v>
      </c>
      <c r="H94" s="5">
        <v>110.9</v>
      </c>
      <c r="I94" s="5">
        <v>133.1</v>
      </c>
      <c r="J94" s="5">
        <v>145.1</v>
      </c>
      <c r="K94" s="5">
        <v>139.1</v>
      </c>
      <c r="L94" s="5">
        <v>91.3</v>
      </c>
      <c r="M94" s="5">
        <v>126.1</v>
      </c>
      <c r="N94" s="5">
        <v>119.9</v>
      </c>
      <c r="O94" s="5">
        <v>131.4</v>
      </c>
      <c r="P94" s="5">
        <v>128.19999999999999</v>
      </c>
      <c r="Q94" s="5">
        <v>130.4</v>
      </c>
      <c r="R94" s="5">
        <v>126.7</v>
      </c>
      <c r="S94" s="5">
        <v>122.3</v>
      </c>
      <c r="T94" s="5">
        <v>126.1</v>
      </c>
      <c r="U94" s="5">
        <v>119.9</v>
      </c>
      <c r="V94" s="5">
        <v>120.1</v>
      </c>
      <c r="W94" s="5">
        <v>121.3</v>
      </c>
      <c r="X94" s="5">
        <v>119</v>
      </c>
      <c r="Y94" s="5">
        <v>112.7</v>
      </c>
      <c r="Z94" s="5">
        <v>117.2</v>
      </c>
      <c r="AA94" s="5">
        <v>124.4</v>
      </c>
      <c r="AB94" s="5">
        <v>112.3</v>
      </c>
      <c r="AC94" s="5">
        <v>117.2</v>
      </c>
      <c r="AD94" s="5">
        <v>123.6</v>
      </c>
    </row>
    <row r="95" spans="1:30" x14ac:dyDescent="0.3">
      <c r="A95" s="6" t="s">
        <v>30</v>
      </c>
      <c r="B95" s="6">
        <v>2015</v>
      </c>
      <c r="C95" s="6" t="s">
        <v>41</v>
      </c>
      <c r="D95" s="6">
        <v>124.7</v>
      </c>
      <c r="E95" s="6">
        <v>131.30000000000001</v>
      </c>
      <c r="F95" s="6">
        <v>121.3</v>
      </c>
      <c r="G95" s="6">
        <v>128.80000000000001</v>
      </c>
      <c r="H95" s="6">
        <v>114</v>
      </c>
      <c r="I95" s="6">
        <v>134.19999999999999</v>
      </c>
      <c r="J95" s="6">
        <v>153.6</v>
      </c>
      <c r="K95" s="6">
        <v>137.9</v>
      </c>
      <c r="L95" s="6">
        <v>93.1</v>
      </c>
      <c r="M95" s="6">
        <v>123.9</v>
      </c>
      <c r="N95" s="6">
        <v>121.5</v>
      </c>
      <c r="O95" s="6">
        <v>132.5</v>
      </c>
      <c r="P95" s="6">
        <v>129.80000000000001</v>
      </c>
      <c r="Q95" s="6">
        <v>130.1</v>
      </c>
      <c r="R95" s="6">
        <v>129.5</v>
      </c>
      <c r="S95" s="6">
        <v>126.3</v>
      </c>
      <c r="T95" s="6">
        <v>129</v>
      </c>
      <c r="U95" s="6" t="s">
        <v>32</v>
      </c>
      <c r="V95" s="6">
        <v>123.8</v>
      </c>
      <c r="W95" s="6">
        <v>123.7</v>
      </c>
      <c r="X95" s="6">
        <v>121.1</v>
      </c>
      <c r="Y95" s="6">
        <v>113.6</v>
      </c>
      <c r="Z95" s="6">
        <v>118.5</v>
      </c>
      <c r="AA95" s="6">
        <v>123.6</v>
      </c>
      <c r="AB95" s="6">
        <v>112.5</v>
      </c>
      <c r="AC95" s="6">
        <v>118.2</v>
      </c>
      <c r="AD95" s="6">
        <v>126.1</v>
      </c>
    </row>
    <row r="96" spans="1:30" x14ac:dyDescent="0.3">
      <c r="A96" s="5" t="s">
        <v>33</v>
      </c>
      <c r="B96" s="5">
        <v>2015</v>
      </c>
      <c r="C96" s="5" t="s">
        <v>41</v>
      </c>
      <c r="D96" s="5">
        <v>123.1</v>
      </c>
      <c r="E96" s="5">
        <v>131.69999999999999</v>
      </c>
      <c r="F96" s="5">
        <v>118.1</v>
      </c>
      <c r="G96" s="5">
        <v>128</v>
      </c>
      <c r="H96" s="5">
        <v>106.8</v>
      </c>
      <c r="I96" s="5">
        <v>130.1</v>
      </c>
      <c r="J96" s="5">
        <v>165.5</v>
      </c>
      <c r="K96" s="5">
        <v>156</v>
      </c>
      <c r="L96" s="5">
        <v>85.3</v>
      </c>
      <c r="M96" s="5">
        <v>132.69999999999999</v>
      </c>
      <c r="N96" s="5">
        <v>118.8</v>
      </c>
      <c r="O96" s="5">
        <v>131.69999999999999</v>
      </c>
      <c r="P96" s="5">
        <v>131.1</v>
      </c>
      <c r="Q96" s="5">
        <v>134.19999999999999</v>
      </c>
      <c r="R96" s="5">
        <v>123.7</v>
      </c>
      <c r="S96" s="5">
        <v>118.2</v>
      </c>
      <c r="T96" s="5">
        <v>122.9</v>
      </c>
      <c r="U96" s="5">
        <v>120.9</v>
      </c>
      <c r="V96" s="5">
        <v>115.3</v>
      </c>
      <c r="W96" s="5">
        <v>120</v>
      </c>
      <c r="X96" s="5">
        <v>116.6</v>
      </c>
      <c r="Y96" s="5">
        <v>109.9</v>
      </c>
      <c r="Z96" s="5">
        <v>117.2</v>
      </c>
      <c r="AA96" s="5">
        <v>126.2</v>
      </c>
      <c r="AB96" s="5">
        <v>112</v>
      </c>
      <c r="AC96" s="5">
        <v>116.2</v>
      </c>
      <c r="AD96" s="5">
        <v>123.2</v>
      </c>
    </row>
    <row r="97" spans="1:30" x14ac:dyDescent="0.3">
      <c r="A97" s="6" t="s">
        <v>34</v>
      </c>
      <c r="B97" s="6">
        <v>2015</v>
      </c>
      <c r="C97" s="6" t="s">
        <v>41</v>
      </c>
      <c r="D97" s="6">
        <v>124.2</v>
      </c>
      <c r="E97" s="6">
        <v>131.4</v>
      </c>
      <c r="F97" s="6">
        <v>120.1</v>
      </c>
      <c r="G97" s="6">
        <v>128.5</v>
      </c>
      <c r="H97" s="6">
        <v>111.4</v>
      </c>
      <c r="I97" s="6">
        <v>132.30000000000001</v>
      </c>
      <c r="J97" s="6">
        <v>157.6</v>
      </c>
      <c r="K97" s="6">
        <v>144</v>
      </c>
      <c r="L97" s="6">
        <v>90.5</v>
      </c>
      <c r="M97" s="6">
        <v>126.8</v>
      </c>
      <c r="N97" s="6">
        <v>120.4</v>
      </c>
      <c r="O97" s="6">
        <v>132.1</v>
      </c>
      <c r="P97" s="6">
        <v>130.30000000000001</v>
      </c>
      <c r="Q97" s="6">
        <v>131.19999999999999</v>
      </c>
      <c r="R97" s="6">
        <v>127.2</v>
      </c>
      <c r="S97" s="6">
        <v>122.9</v>
      </c>
      <c r="T97" s="6">
        <v>126.6</v>
      </c>
      <c r="U97" s="6">
        <v>120.9</v>
      </c>
      <c r="V97" s="6">
        <v>120.6</v>
      </c>
      <c r="W97" s="6">
        <v>122</v>
      </c>
      <c r="X97" s="6">
        <v>119.4</v>
      </c>
      <c r="Y97" s="6">
        <v>111.7</v>
      </c>
      <c r="Z97" s="6">
        <v>117.8</v>
      </c>
      <c r="AA97" s="6">
        <v>125.1</v>
      </c>
      <c r="AB97" s="6">
        <v>112.3</v>
      </c>
      <c r="AC97" s="6">
        <v>117.2</v>
      </c>
      <c r="AD97" s="6">
        <v>124.8</v>
      </c>
    </row>
    <row r="98" spans="1:30" x14ac:dyDescent="0.3">
      <c r="A98" s="5" t="s">
        <v>30</v>
      </c>
      <c r="B98" s="5">
        <v>2015</v>
      </c>
      <c r="C98" s="5" t="s">
        <v>42</v>
      </c>
      <c r="D98" s="5">
        <v>125.1</v>
      </c>
      <c r="E98" s="5">
        <v>131.1</v>
      </c>
      <c r="F98" s="5">
        <v>120.7</v>
      </c>
      <c r="G98" s="5">
        <v>129.19999999999999</v>
      </c>
      <c r="H98" s="5">
        <v>114.7</v>
      </c>
      <c r="I98" s="5">
        <v>132.30000000000001</v>
      </c>
      <c r="J98" s="5">
        <v>158.9</v>
      </c>
      <c r="K98" s="5">
        <v>142.1</v>
      </c>
      <c r="L98" s="5">
        <v>92.5</v>
      </c>
      <c r="M98" s="5">
        <v>125.4</v>
      </c>
      <c r="N98" s="5">
        <v>121.9</v>
      </c>
      <c r="O98" s="5">
        <v>132.69999999999999</v>
      </c>
      <c r="P98" s="5">
        <v>131</v>
      </c>
      <c r="Q98" s="5">
        <v>131</v>
      </c>
      <c r="R98" s="5">
        <v>130.4</v>
      </c>
      <c r="S98" s="5">
        <v>126.8</v>
      </c>
      <c r="T98" s="5">
        <v>129.9</v>
      </c>
      <c r="U98" s="5" t="s">
        <v>32</v>
      </c>
      <c r="V98" s="5">
        <v>123.7</v>
      </c>
      <c r="W98" s="5">
        <v>124.5</v>
      </c>
      <c r="X98" s="5">
        <v>121.4</v>
      </c>
      <c r="Y98" s="5">
        <v>113.8</v>
      </c>
      <c r="Z98" s="5">
        <v>119.6</v>
      </c>
      <c r="AA98" s="5">
        <v>124.5</v>
      </c>
      <c r="AB98" s="5">
        <v>113.7</v>
      </c>
      <c r="AC98" s="5">
        <v>118.8</v>
      </c>
      <c r="AD98" s="5">
        <v>127</v>
      </c>
    </row>
    <row r="99" spans="1:30" x14ac:dyDescent="0.3">
      <c r="A99" s="6" t="s">
        <v>33</v>
      </c>
      <c r="B99" s="6">
        <v>2015</v>
      </c>
      <c r="C99" s="6" t="s">
        <v>42</v>
      </c>
      <c r="D99" s="6">
        <v>123.4</v>
      </c>
      <c r="E99" s="6">
        <v>129</v>
      </c>
      <c r="F99" s="6">
        <v>115.6</v>
      </c>
      <c r="G99" s="6">
        <v>128.30000000000001</v>
      </c>
      <c r="H99" s="6">
        <v>107</v>
      </c>
      <c r="I99" s="6">
        <v>124</v>
      </c>
      <c r="J99" s="6">
        <v>168.5</v>
      </c>
      <c r="K99" s="6">
        <v>165.4</v>
      </c>
      <c r="L99" s="6">
        <v>86.3</v>
      </c>
      <c r="M99" s="6">
        <v>134.4</v>
      </c>
      <c r="N99" s="6">
        <v>119.1</v>
      </c>
      <c r="O99" s="6">
        <v>132.30000000000001</v>
      </c>
      <c r="P99" s="6">
        <v>131.5</v>
      </c>
      <c r="Q99" s="6">
        <v>134.69999999999999</v>
      </c>
      <c r="R99" s="6">
        <v>124</v>
      </c>
      <c r="S99" s="6">
        <v>118.6</v>
      </c>
      <c r="T99" s="6">
        <v>123.2</v>
      </c>
      <c r="U99" s="6">
        <v>121.6</v>
      </c>
      <c r="V99" s="6">
        <v>115.1</v>
      </c>
      <c r="W99" s="6">
        <v>120.4</v>
      </c>
      <c r="X99" s="6">
        <v>117.1</v>
      </c>
      <c r="Y99" s="6">
        <v>109.1</v>
      </c>
      <c r="Z99" s="6">
        <v>117.3</v>
      </c>
      <c r="AA99" s="6">
        <v>126.5</v>
      </c>
      <c r="AB99" s="6">
        <v>112.9</v>
      </c>
      <c r="AC99" s="6">
        <v>116.2</v>
      </c>
      <c r="AD99" s="6">
        <v>123.5</v>
      </c>
    </row>
    <row r="100" spans="1:30" x14ac:dyDescent="0.3">
      <c r="A100" s="5" t="s">
        <v>34</v>
      </c>
      <c r="B100" s="5">
        <v>2015</v>
      </c>
      <c r="C100" s="5" t="s">
        <v>42</v>
      </c>
      <c r="D100" s="5">
        <v>124.6</v>
      </c>
      <c r="E100" s="5">
        <v>130.4</v>
      </c>
      <c r="F100" s="5">
        <v>118.7</v>
      </c>
      <c r="G100" s="5">
        <v>128.9</v>
      </c>
      <c r="H100" s="5">
        <v>111.9</v>
      </c>
      <c r="I100" s="5">
        <v>128.4</v>
      </c>
      <c r="J100" s="5">
        <v>162.19999999999999</v>
      </c>
      <c r="K100" s="5">
        <v>150</v>
      </c>
      <c r="L100" s="5">
        <v>90.4</v>
      </c>
      <c r="M100" s="5">
        <v>128.4</v>
      </c>
      <c r="N100" s="5">
        <v>120.7</v>
      </c>
      <c r="O100" s="5">
        <v>132.5</v>
      </c>
      <c r="P100" s="5">
        <v>131.19999999999999</v>
      </c>
      <c r="Q100" s="5">
        <v>132</v>
      </c>
      <c r="R100" s="5">
        <v>127.9</v>
      </c>
      <c r="S100" s="5">
        <v>123.4</v>
      </c>
      <c r="T100" s="5">
        <v>127.2</v>
      </c>
      <c r="U100" s="5">
        <v>121.6</v>
      </c>
      <c r="V100" s="5">
        <v>120.4</v>
      </c>
      <c r="W100" s="5">
        <v>122.6</v>
      </c>
      <c r="X100" s="5">
        <v>119.8</v>
      </c>
      <c r="Y100" s="5">
        <v>111.3</v>
      </c>
      <c r="Z100" s="5">
        <v>118.3</v>
      </c>
      <c r="AA100" s="5">
        <v>125.7</v>
      </c>
      <c r="AB100" s="5">
        <v>113.4</v>
      </c>
      <c r="AC100" s="5">
        <v>117.5</v>
      </c>
      <c r="AD100" s="5">
        <v>125.4</v>
      </c>
    </row>
    <row r="101" spans="1:30" x14ac:dyDescent="0.3">
      <c r="A101" s="6" t="s">
        <v>30</v>
      </c>
      <c r="B101" s="6">
        <v>2015</v>
      </c>
      <c r="C101" s="6" t="s">
        <v>43</v>
      </c>
      <c r="D101" s="6">
        <v>125.6</v>
      </c>
      <c r="E101" s="6">
        <v>130.4</v>
      </c>
      <c r="F101" s="6">
        <v>120.8</v>
      </c>
      <c r="G101" s="6">
        <v>129.4</v>
      </c>
      <c r="H101" s="6">
        <v>115.8</v>
      </c>
      <c r="I101" s="6">
        <v>133.19999999999999</v>
      </c>
      <c r="J101" s="6">
        <v>157.69999999999999</v>
      </c>
      <c r="K101" s="6">
        <v>154.19999999999999</v>
      </c>
      <c r="L101" s="6">
        <v>93.7</v>
      </c>
      <c r="M101" s="6">
        <v>126.6</v>
      </c>
      <c r="N101" s="6">
        <v>122.3</v>
      </c>
      <c r="O101" s="6">
        <v>133.1</v>
      </c>
      <c r="P101" s="6">
        <v>131.80000000000001</v>
      </c>
      <c r="Q101" s="6">
        <v>131.5</v>
      </c>
      <c r="R101" s="6">
        <v>131.1</v>
      </c>
      <c r="S101" s="6">
        <v>127.3</v>
      </c>
      <c r="T101" s="6">
        <v>130.6</v>
      </c>
      <c r="U101" s="6" t="s">
        <v>32</v>
      </c>
      <c r="V101" s="6">
        <v>124.4</v>
      </c>
      <c r="W101" s="6">
        <v>125.1</v>
      </c>
      <c r="X101" s="6">
        <v>122</v>
      </c>
      <c r="Y101" s="6">
        <v>113.8</v>
      </c>
      <c r="Z101" s="6">
        <v>120.1</v>
      </c>
      <c r="AA101" s="6">
        <v>125.1</v>
      </c>
      <c r="AB101" s="6">
        <v>114.2</v>
      </c>
      <c r="AC101" s="6">
        <v>119.2</v>
      </c>
      <c r="AD101" s="6">
        <v>127.7</v>
      </c>
    </row>
    <row r="102" spans="1:30" x14ac:dyDescent="0.3">
      <c r="A102" s="5" t="s">
        <v>33</v>
      </c>
      <c r="B102" s="5">
        <v>2015</v>
      </c>
      <c r="C102" s="5" t="s">
        <v>43</v>
      </c>
      <c r="D102" s="5">
        <v>123.6</v>
      </c>
      <c r="E102" s="5">
        <v>128.6</v>
      </c>
      <c r="F102" s="5">
        <v>115.9</v>
      </c>
      <c r="G102" s="5">
        <v>128.5</v>
      </c>
      <c r="H102" s="5">
        <v>109</v>
      </c>
      <c r="I102" s="5">
        <v>124.1</v>
      </c>
      <c r="J102" s="5">
        <v>165.8</v>
      </c>
      <c r="K102" s="5">
        <v>187.2</v>
      </c>
      <c r="L102" s="5">
        <v>89.4</v>
      </c>
      <c r="M102" s="5">
        <v>135.80000000000001</v>
      </c>
      <c r="N102" s="5">
        <v>119.4</v>
      </c>
      <c r="O102" s="5">
        <v>132.9</v>
      </c>
      <c r="P102" s="5">
        <v>132.6</v>
      </c>
      <c r="Q102" s="5">
        <v>135.30000000000001</v>
      </c>
      <c r="R102" s="5">
        <v>124.4</v>
      </c>
      <c r="S102" s="5">
        <v>118.8</v>
      </c>
      <c r="T102" s="5">
        <v>123.6</v>
      </c>
      <c r="U102" s="5">
        <v>122.4</v>
      </c>
      <c r="V102" s="5">
        <v>114.9</v>
      </c>
      <c r="W102" s="5">
        <v>120.7</v>
      </c>
      <c r="X102" s="5">
        <v>117.7</v>
      </c>
      <c r="Y102" s="5">
        <v>109.3</v>
      </c>
      <c r="Z102" s="5">
        <v>117.7</v>
      </c>
      <c r="AA102" s="5">
        <v>126.5</v>
      </c>
      <c r="AB102" s="5">
        <v>113.5</v>
      </c>
      <c r="AC102" s="5">
        <v>116.5</v>
      </c>
      <c r="AD102" s="5">
        <v>124.2</v>
      </c>
    </row>
    <row r="103" spans="1:30" x14ac:dyDescent="0.3">
      <c r="A103" s="6" t="s">
        <v>34</v>
      </c>
      <c r="B103" s="6">
        <v>2015</v>
      </c>
      <c r="C103" s="6" t="s">
        <v>43</v>
      </c>
      <c r="D103" s="6">
        <v>125</v>
      </c>
      <c r="E103" s="6">
        <v>129.80000000000001</v>
      </c>
      <c r="F103" s="6">
        <v>118.9</v>
      </c>
      <c r="G103" s="6">
        <v>129.1</v>
      </c>
      <c r="H103" s="6">
        <v>113.3</v>
      </c>
      <c r="I103" s="6">
        <v>129</v>
      </c>
      <c r="J103" s="6">
        <v>160.4</v>
      </c>
      <c r="K103" s="6">
        <v>165.3</v>
      </c>
      <c r="L103" s="6">
        <v>92.3</v>
      </c>
      <c r="M103" s="6">
        <v>129.69999999999999</v>
      </c>
      <c r="N103" s="6">
        <v>121.1</v>
      </c>
      <c r="O103" s="6">
        <v>133</v>
      </c>
      <c r="P103" s="6">
        <v>132.1</v>
      </c>
      <c r="Q103" s="6">
        <v>132.5</v>
      </c>
      <c r="R103" s="6">
        <v>128.5</v>
      </c>
      <c r="S103" s="6">
        <v>123.8</v>
      </c>
      <c r="T103" s="6">
        <v>127.8</v>
      </c>
      <c r="U103" s="6">
        <v>122.4</v>
      </c>
      <c r="V103" s="6">
        <v>120.8</v>
      </c>
      <c r="W103" s="6">
        <v>123</v>
      </c>
      <c r="X103" s="6">
        <v>120.4</v>
      </c>
      <c r="Y103" s="6">
        <v>111.4</v>
      </c>
      <c r="Z103" s="6">
        <v>118.7</v>
      </c>
      <c r="AA103" s="6">
        <v>125.9</v>
      </c>
      <c r="AB103" s="6">
        <v>113.9</v>
      </c>
      <c r="AC103" s="6">
        <v>117.9</v>
      </c>
      <c r="AD103" s="6">
        <v>126.1</v>
      </c>
    </row>
    <row r="104" spans="1:30" x14ac:dyDescent="0.3">
      <c r="A104" s="5" t="s">
        <v>30</v>
      </c>
      <c r="B104" s="5">
        <v>2015</v>
      </c>
      <c r="C104" s="5" t="s">
        <v>45</v>
      </c>
      <c r="D104" s="5">
        <v>126.1</v>
      </c>
      <c r="E104" s="5">
        <v>130.6</v>
      </c>
      <c r="F104" s="5">
        <v>121.7</v>
      </c>
      <c r="G104" s="5">
        <v>129.5</v>
      </c>
      <c r="H104" s="5">
        <v>117.8</v>
      </c>
      <c r="I104" s="5">
        <v>132.1</v>
      </c>
      <c r="J104" s="5">
        <v>155.19999999999999</v>
      </c>
      <c r="K104" s="5">
        <v>160.80000000000001</v>
      </c>
      <c r="L104" s="5">
        <v>94.5</v>
      </c>
      <c r="M104" s="5">
        <v>128.30000000000001</v>
      </c>
      <c r="N104" s="5">
        <v>123.1</v>
      </c>
      <c r="O104" s="5">
        <v>134.19999999999999</v>
      </c>
      <c r="P104" s="5">
        <v>132.4</v>
      </c>
      <c r="Q104" s="5">
        <v>132.19999999999999</v>
      </c>
      <c r="R104" s="5">
        <v>132.1</v>
      </c>
      <c r="S104" s="5">
        <v>128.19999999999999</v>
      </c>
      <c r="T104" s="5">
        <v>131.5</v>
      </c>
      <c r="U104" s="5" t="s">
        <v>32</v>
      </c>
      <c r="V104" s="5">
        <v>125.6</v>
      </c>
      <c r="W104" s="5">
        <v>125.6</v>
      </c>
      <c r="X104" s="5">
        <v>122.6</v>
      </c>
      <c r="Y104" s="5">
        <v>114</v>
      </c>
      <c r="Z104" s="5">
        <v>120.9</v>
      </c>
      <c r="AA104" s="5">
        <v>125.8</v>
      </c>
      <c r="AB104" s="5">
        <v>114.2</v>
      </c>
      <c r="AC104" s="5">
        <v>119.6</v>
      </c>
      <c r="AD104" s="5">
        <v>128.30000000000001</v>
      </c>
    </row>
    <row r="105" spans="1:30" x14ac:dyDescent="0.3">
      <c r="A105" s="6" t="s">
        <v>33</v>
      </c>
      <c r="B105" s="6">
        <v>2015</v>
      </c>
      <c r="C105" s="6" t="s">
        <v>45</v>
      </c>
      <c r="D105" s="6">
        <v>124</v>
      </c>
      <c r="E105" s="6">
        <v>129.80000000000001</v>
      </c>
      <c r="F105" s="6">
        <v>121.5</v>
      </c>
      <c r="G105" s="6">
        <v>128.6</v>
      </c>
      <c r="H105" s="6">
        <v>110</v>
      </c>
      <c r="I105" s="6">
        <v>123.7</v>
      </c>
      <c r="J105" s="6">
        <v>164.6</v>
      </c>
      <c r="K105" s="6">
        <v>191.6</v>
      </c>
      <c r="L105" s="6">
        <v>90.8</v>
      </c>
      <c r="M105" s="6">
        <v>137.1</v>
      </c>
      <c r="N105" s="6">
        <v>119.8</v>
      </c>
      <c r="O105" s="6">
        <v>133.69999999999999</v>
      </c>
      <c r="P105" s="6">
        <v>133.30000000000001</v>
      </c>
      <c r="Q105" s="6">
        <v>137.6</v>
      </c>
      <c r="R105" s="6">
        <v>125</v>
      </c>
      <c r="S105" s="6">
        <v>119.3</v>
      </c>
      <c r="T105" s="6">
        <v>124.2</v>
      </c>
      <c r="U105" s="6">
        <v>122.9</v>
      </c>
      <c r="V105" s="6">
        <v>115.1</v>
      </c>
      <c r="W105" s="6">
        <v>121</v>
      </c>
      <c r="X105" s="6">
        <v>118.1</v>
      </c>
      <c r="Y105" s="6">
        <v>109.3</v>
      </c>
      <c r="Z105" s="6">
        <v>117.9</v>
      </c>
      <c r="AA105" s="6">
        <v>126.6</v>
      </c>
      <c r="AB105" s="6">
        <v>113.3</v>
      </c>
      <c r="AC105" s="6">
        <v>116.6</v>
      </c>
      <c r="AD105" s="6">
        <v>124.6</v>
      </c>
    </row>
    <row r="106" spans="1:30" x14ac:dyDescent="0.3">
      <c r="A106" s="5" t="s">
        <v>34</v>
      </c>
      <c r="B106" s="5">
        <v>2015</v>
      </c>
      <c r="C106" s="5" t="s">
        <v>45</v>
      </c>
      <c r="D106" s="5">
        <v>125.4</v>
      </c>
      <c r="E106" s="5">
        <v>130.30000000000001</v>
      </c>
      <c r="F106" s="5">
        <v>121.6</v>
      </c>
      <c r="G106" s="5">
        <v>129.19999999999999</v>
      </c>
      <c r="H106" s="5">
        <v>114.9</v>
      </c>
      <c r="I106" s="5">
        <v>128.19999999999999</v>
      </c>
      <c r="J106" s="5">
        <v>158.4</v>
      </c>
      <c r="K106" s="5">
        <v>171.2</v>
      </c>
      <c r="L106" s="5">
        <v>93.3</v>
      </c>
      <c r="M106" s="5">
        <v>131.19999999999999</v>
      </c>
      <c r="N106" s="5">
        <v>121.7</v>
      </c>
      <c r="O106" s="5">
        <v>134</v>
      </c>
      <c r="P106" s="5">
        <v>132.69999999999999</v>
      </c>
      <c r="Q106" s="5">
        <v>133.6</v>
      </c>
      <c r="R106" s="5">
        <v>129.30000000000001</v>
      </c>
      <c r="S106" s="5">
        <v>124.5</v>
      </c>
      <c r="T106" s="5">
        <v>128.6</v>
      </c>
      <c r="U106" s="5">
        <v>122.9</v>
      </c>
      <c r="V106" s="5">
        <v>121.6</v>
      </c>
      <c r="W106" s="5">
        <v>123.4</v>
      </c>
      <c r="X106" s="5">
        <v>120.9</v>
      </c>
      <c r="Y106" s="5">
        <v>111.5</v>
      </c>
      <c r="Z106" s="5">
        <v>119.2</v>
      </c>
      <c r="AA106" s="5">
        <v>126.3</v>
      </c>
      <c r="AB106" s="5">
        <v>113.8</v>
      </c>
      <c r="AC106" s="5">
        <v>118.1</v>
      </c>
      <c r="AD106" s="5">
        <v>126.6</v>
      </c>
    </row>
    <row r="107" spans="1:30" x14ac:dyDescent="0.3">
      <c r="A107" s="6" t="s">
        <v>30</v>
      </c>
      <c r="B107" s="6">
        <v>2015</v>
      </c>
      <c r="C107" s="6" t="s">
        <v>46</v>
      </c>
      <c r="D107" s="6">
        <v>126.3</v>
      </c>
      <c r="E107" s="6">
        <v>131.30000000000001</v>
      </c>
      <c r="F107" s="6">
        <v>123.3</v>
      </c>
      <c r="G107" s="6">
        <v>129.80000000000001</v>
      </c>
      <c r="H107" s="6">
        <v>118.3</v>
      </c>
      <c r="I107" s="6">
        <v>131.6</v>
      </c>
      <c r="J107" s="6">
        <v>145.5</v>
      </c>
      <c r="K107" s="6">
        <v>162.1</v>
      </c>
      <c r="L107" s="6">
        <v>95.4</v>
      </c>
      <c r="M107" s="6">
        <v>128.9</v>
      </c>
      <c r="N107" s="6">
        <v>123.3</v>
      </c>
      <c r="O107" s="6">
        <v>135.1</v>
      </c>
      <c r="P107" s="6">
        <v>131.4</v>
      </c>
      <c r="Q107" s="6">
        <v>133.1</v>
      </c>
      <c r="R107" s="6">
        <v>132.5</v>
      </c>
      <c r="S107" s="6">
        <v>128.5</v>
      </c>
      <c r="T107" s="6">
        <v>131.9</v>
      </c>
      <c r="U107" s="6" t="s">
        <v>32</v>
      </c>
      <c r="V107" s="6">
        <v>125.7</v>
      </c>
      <c r="W107" s="6">
        <v>126</v>
      </c>
      <c r="X107" s="6">
        <v>123.1</v>
      </c>
      <c r="Y107" s="6">
        <v>114</v>
      </c>
      <c r="Z107" s="6">
        <v>121.6</v>
      </c>
      <c r="AA107" s="6">
        <v>125.6</v>
      </c>
      <c r="AB107" s="6">
        <v>114.1</v>
      </c>
      <c r="AC107" s="6">
        <v>119.8</v>
      </c>
      <c r="AD107" s="6">
        <v>127.9</v>
      </c>
    </row>
    <row r="108" spans="1:30" x14ac:dyDescent="0.3">
      <c r="A108" s="5" t="s">
        <v>33</v>
      </c>
      <c r="B108" s="5">
        <v>2015</v>
      </c>
      <c r="C108" s="5" t="s">
        <v>46</v>
      </c>
      <c r="D108" s="5">
        <v>124.3</v>
      </c>
      <c r="E108" s="5">
        <v>131.69999999999999</v>
      </c>
      <c r="F108" s="5">
        <v>127.1</v>
      </c>
      <c r="G108" s="5">
        <v>128.6</v>
      </c>
      <c r="H108" s="5">
        <v>110</v>
      </c>
      <c r="I108" s="5">
        <v>120.8</v>
      </c>
      <c r="J108" s="5">
        <v>149</v>
      </c>
      <c r="K108" s="5">
        <v>190.1</v>
      </c>
      <c r="L108" s="5">
        <v>92.7</v>
      </c>
      <c r="M108" s="5">
        <v>138.6</v>
      </c>
      <c r="N108" s="5">
        <v>120.2</v>
      </c>
      <c r="O108" s="5">
        <v>134.19999999999999</v>
      </c>
      <c r="P108" s="5">
        <v>131.5</v>
      </c>
      <c r="Q108" s="5">
        <v>138.19999999999999</v>
      </c>
      <c r="R108" s="5">
        <v>125.4</v>
      </c>
      <c r="S108" s="5">
        <v>119.5</v>
      </c>
      <c r="T108" s="5">
        <v>124.5</v>
      </c>
      <c r="U108" s="5">
        <v>122.4</v>
      </c>
      <c r="V108" s="5">
        <v>116</v>
      </c>
      <c r="W108" s="5">
        <v>121</v>
      </c>
      <c r="X108" s="5">
        <v>118.6</v>
      </c>
      <c r="Y108" s="5">
        <v>109.3</v>
      </c>
      <c r="Z108" s="5">
        <v>118.1</v>
      </c>
      <c r="AA108" s="5">
        <v>126.6</v>
      </c>
      <c r="AB108" s="5">
        <v>113.2</v>
      </c>
      <c r="AC108" s="5">
        <v>116.7</v>
      </c>
      <c r="AD108" s="5">
        <v>124</v>
      </c>
    </row>
    <row r="109" spans="1:30" x14ac:dyDescent="0.3">
      <c r="A109" s="6" t="s">
        <v>34</v>
      </c>
      <c r="B109" s="6">
        <v>2015</v>
      </c>
      <c r="C109" s="6" t="s">
        <v>46</v>
      </c>
      <c r="D109" s="6">
        <v>125.7</v>
      </c>
      <c r="E109" s="6">
        <v>131.4</v>
      </c>
      <c r="F109" s="6">
        <v>124.8</v>
      </c>
      <c r="G109" s="6">
        <v>129.4</v>
      </c>
      <c r="H109" s="6">
        <v>115.3</v>
      </c>
      <c r="I109" s="6">
        <v>126.6</v>
      </c>
      <c r="J109" s="6">
        <v>146.69999999999999</v>
      </c>
      <c r="K109" s="6">
        <v>171.5</v>
      </c>
      <c r="L109" s="6">
        <v>94.5</v>
      </c>
      <c r="M109" s="6">
        <v>132.1</v>
      </c>
      <c r="N109" s="6">
        <v>122</v>
      </c>
      <c r="O109" s="6">
        <v>134.69999999999999</v>
      </c>
      <c r="P109" s="6">
        <v>131.4</v>
      </c>
      <c r="Q109" s="6">
        <v>134.5</v>
      </c>
      <c r="R109" s="6">
        <v>129.69999999999999</v>
      </c>
      <c r="S109" s="6">
        <v>124.8</v>
      </c>
      <c r="T109" s="6">
        <v>129</v>
      </c>
      <c r="U109" s="6">
        <v>122.4</v>
      </c>
      <c r="V109" s="6">
        <v>122</v>
      </c>
      <c r="W109" s="6">
        <v>123.6</v>
      </c>
      <c r="X109" s="6">
        <v>121.4</v>
      </c>
      <c r="Y109" s="6">
        <v>111.5</v>
      </c>
      <c r="Z109" s="6">
        <v>119.6</v>
      </c>
      <c r="AA109" s="6">
        <v>126.2</v>
      </c>
      <c r="AB109" s="6">
        <v>113.7</v>
      </c>
      <c r="AC109" s="6">
        <v>118.3</v>
      </c>
      <c r="AD109" s="6">
        <v>126.1</v>
      </c>
    </row>
    <row r="110" spans="1:30" x14ac:dyDescent="0.3">
      <c r="A110" s="5" t="s">
        <v>30</v>
      </c>
      <c r="B110" s="5">
        <v>2016</v>
      </c>
      <c r="C110" s="5" t="s">
        <v>31</v>
      </c>
      <c r="D110" s="5">
        <v>126.8</v>
      </c>
      <c r="E110" s="5">
        <v>133.19999999999999</v>
      </c>
      <c r="F110" s="5">
        <v>126.5</v>
      </c>
      <c r="G110" s="5">
        <v>130.30000000000001</v>
      </c>
      <c r="H110" s="5">
        <v>118.9</v>
      </c>
      <c r="I110" s="5">
        <v>131.6</v>
      </c>
      <c r="J110" s="5">
        <v>140.1</v>
      </c>
      <c r="K110" s="5">
        <v>163.80000000000001</v>
      </c>
      <c r="L110" s="5">
        <v>97.7</v>
      </c>
      <c r="M110" s="5">
        <v>129.6</v>
      </c>
      <c r="N110" s="5">
        <v>124.3</v>
      </c>
      <c r="O110" s="5">
        <v>135.9</v>
      </c>
      <c r="P110" s="5">
        <v>131.4</v>
      </c>
      <c r="Q110" s="5">
        <v>133.6</v>
      </c>
      <c r="R110" s="5">
        <v>133.19999999999999</v>
      </c>
      <c r="S110" s="5">
        <v>128.9</v>
      </c>
      <c r="T110" s="5">
        <v>132.6</v>
      </c>
      <c r="U110" s="5" t="s">
        <v>32</v>
      </c>
      <c r="V110" s="5">
        <v>126.2</v>
      </c>
      <c r="W110" s="5">
        <v>126.6</v>
      </c>
      <c r="X110" s="5">
        <v>123.7</v>
      </c>
      <c r="Y110" s="5">
        <v>113.6</v>
      </c>
      <c r="Z110" s="5">
        <v>121.4</v>
      </c>
      <c r="AA110" s="5">
        <v>126.2</v>
      </c>
      <c r="AB110" s="5">
        <v>114.9</v>
      </c>
      <c r="AC110" s="5">
        <v>120.1</v>
      </c>
      <c r="AD110" s="5">
        <v>128.1</v>
      </c>
    </row>
    <row r="111" spans="1:30" x14ac:dyDescent="0.3">
      <c r="A111" s="6" t="s">
        <v>33</v>
      </c>
      <c r="B111" s="6">
        <v>2016</v>
      </c>
      <c r="C111" s="6" t="s">
        <v>31</v>
      </c>
      <c r="D111" s="6">
        <v>124.7</v>
      </c>
      <c r="E111" s="6">
        <v>135.9</v>
      </c>
      <c r="F111" s="6">
        <v>132</v>
      </c>
      <c r="G111" s="6">
        <v>129.19999999999999</v>
      </c>
      <c r="H111" s="6">
        <v>109.7</v>
      </c>
      <c r="I111" s="6">
        <v>119</v>
      </c>
      <c r="J111" s="6">
        <v>144.1</v>
      </c>
      <c r="K111" s="6">
        <v>184.2</v>
      </c>
      <c r="L111" s="6">
        <v>96.7</v>
      </c>
      <c r="M111" s="6">
        <v>139.5</v>
      </c>
      <c r="N111" s="6">
        <v>120.5</v>
      </c>
      <c r="O111" s="6">
        <v>134.69999999999999</v>
      </c>
      <c r="P111" s="6">
        <v>131.19999999999999</v>
      </c>
      <c r="Q111" s="6">
        <v>139.5</v>
      </c>
      <c r="R111" s="6">
        <v>125.8</v>
      </c>
      <c r="S111" s="6">
        <v>119.8</v>
      </c>
      <c r="T111" s="6">
        <v>124.9</v>
      </c>
      <c r="U111" s="6">
        <v>123.4</v>
      </c>
      <c r="V111" s="6">
        <v>116.9</v>
      </c>
      <c r="W111" s="6">
        <v>121.6</v>
      </c>
      <c r="X111" s="6">
        <v>119.1</v>
      </c>
      <c r="Y111" s="6">
        <v>108.9</v>
      </c>
      <c r="Z111" s="6">
        <v>118.5</v>
      </c>
      <c r="AA111" s="6">
        <v>126.4</v>
      </c>
      <c r="AB111" s="6">
        <v>114</v>
      </c>
      <c r="AC111" s="6">
        <v>116.8</v>
      </c>
      <c r="AD111" s="6">
        <v>124.2</v>
      </c>
    </row>
    <row r="112" spans="1:30" x14ac:dyDescent="0.3">
      <c r="A112" s="5" t="s">
        <v>34</v>
      </c>
      <c r="B112" s="5">
        <v>2016</v>
      </c>
      <c r="C112" s="5" t="s">
        <v>31</v>
      </c>
      <c r="D112" s="5">
        <v>126.1</v>
      </c>
      <c r="E112" s="5">
        <v>134.1</v>
      </c>
      <c r="F112" s="5">
        <v>128.6</v>
      </c>
      <c r="G112" s="5">
        <v>129.9</v>
      </c>
      <c r="H112" s="5">
        <v>115.5</v>
      </c>
      <c r="I112" s="5">
        <v>125.7</v>
      </c>
      <c r="J112" s="5">
        <v>141.5</v>
      </c>
      <c r="K112" s="5">
        <v>170.7</v>
      </c>
      <c r="L112" s="5">
        <v>97.4</v>
      </c>
      <c r="M112" s="5">
        <v>132.9</v>
      </c>
      <c r="N112" s="5">
        <v>122.7</v>
      </c>
      <c r="O112" s="5">
        <v>135.30000000000001</v>
      </c>
      <c r="P112" s="5">
        <v>131.30000000000001</v>
      </c>
      <c r="Q112" s="5">
        <v>135.19999999999999</v>
      </c>
      <c r="R112" s="5">
        <v>130.30000000000001</v>
      </c>
      <c r="S112" s="5">
        <v>125.1</v>
      </c>
      <c r="T112" s="5">
        <v>129.5</v>
      </c>
      <c r="U112" s="5">
        <v>123.4</v>
      </c>
      <c r="V112" s="5">
        <v>122.7</v>
      </c>
      <c r="W112" s="5">
        <v>124.2</v>
      </c>
      <c r="X112" s="5">
        <v>122</v>
      </c>
      <c r="Y112" s="5">
        <v>111.1</v>
      </c>
      <c r="Z112" s="5">
        <v>119.8</v>
      </c>
      <c r="AA112" s="5">
        <v>126.3</v>
      </c>
      <c r="AB112" s="5">
        <v>114.5</v>
      </c>
      <c r="AC112" s="5">
        <v>118.5</v>
      </c>
      <c r="AD112" s="5">
        <v>126.3</v>
      </c>
    </row>
    <row r="113" spans="1:30" x14ac:dyDescent="0.3">
      <c r="A113" s="6" t="s">
        <v>30</v>
      </c>
      <c r="B113" s="6">
        <v>2016</v>
      </c>
      <c r="C113" s="6" t="s">
        <v>35</v>
      </c>
      <c r="D113" s="6">
        <v>127.1</v>
      </c>
      <c r="E113" s="6">
        <v>133.69999999999999</v>
      </c>
      <c r="F113" s="6">
        <v>127.7</v>
      </c>
      <c r="G113" s="6">
        <v>130.69999999999999</v>
      </c>
      <c r="H113" s="6">
        <v>118.5</v>
      </c>
      <c r="I113" s="6">
        <v>130.4</v>
      </c>
      <c r="J113" s="6">
        <v>130.9</v>
      </c>
      <c r="K113" s="6">
        <v>162.80000000000001</v>
      </c>
      <c r="L113" s="6">
        <v>98.7</v>
      </c>
      <c r="M113" s="6">
        <v>130.6</v>
      </c>
      <c r="N113" s="6">
        <v>124.8</v>
      </c>
      <c r="O113" s="6">
        <v>136.4</v>
      </c>
      <c r="P113" s="6">
        <v>130.30000000000001</v>
      </c>
      <c r="Q113" s="6">
        <v>134.4</v>
      </c>
      <c r="R113" s="6">
        <v>133.9</v>
      </c>
      <c r="S113" s="6">
        <v>129.80000000000001</v>
      </c>
      <c r="T113" s="6">
        <v>133.4</v>
      </c>
      <c r="U113" s="6" t="s">
        <v>32</v>
      </c>
      <c r="V113" s="6">
        <v>127.5</v>
      </c>
      <c r="W113" s="6">
        <v>127.1</v>
      </c>
      <c r="X113" s="6">
        <v>124.3</v>
      </c>
      <c r="Y113" s="6">
        <v>113.9</v>
      </c>
      <c r="Z113" s="6">
        <v>122.3</v>
      </c>
      <c r="AA113" s="6">
        <v>127.1</v>
      </c>
      <c r="AB113" s="6">
        <v>116.8</v>
      </c>
      <c r="AC113" s="6">
        <v>120.9</v>
      </c>
      <c r="AD113" s="6">
        <v>127.9</v>
      </c>
    </row>
    <row r="114" spans="1:30" x14ac:dyDescent="0.3">
      <c r="A114" s="5" t="s">
        <v>33</v>
      </c>
      <c r="B114" s="5">
        <v>2016</v>
      </c>
      <c r="C114" s="5" t="s">
        <v>35</v>
      </c>
      <c r="D114" s="5">
        <v>124.8</v>
      </c>
      <c r="E114" s="5">
        <v>135.1</v>
      </c>
      <c r="F114" s="5">
        <v>130.30000000000001</v>
      </c>
      <c r="G114" s="5">
        <v>129.6</v>
      </c>
      <c r="H114" s="5">
        <v>108.4</v>
      </c>
      <c r="I114" s="5">
        <v>118.6</v>
      </c>
      <c r="J114" s="5">
        <v>129.19999999999999</v>
      </c>
      <c r="K114" s="5">
        <v>176.4</v>
      </c>
      <c r="L114" s="5">
        <v>99.1</v>
      </c>
      <c r="M114" s="5">
        <v>139.69999999999999</v>
      </c>
      <c r="N114" s="5">
        <v>120.6</v>
      </c>
      <c r="O114" s="5">
        <v>135.19999999999999</v>
      </c>
      <c r="P114" s="5">
        <v>129.1</v>
      </c>
      <c r="Q114" s="5">
        <v>140</v>
      </c>
      <c r="R114" s="5">
        <v>126.2</v>
      </c>
      <c r="S114" s="5">
        <v>120.1</v>
      </c>
      <c r="T114" s="5">
        <v>125.3</v>
      </c>
      <c r="U114" s="5">
        <v>124.4</v>
      </c>
      <c r="V114" s="5">
        <v>116</v>
      </c>
      <c r="W114" s="5">
        <v>121.8</v>
      </c>
      <c r="X114" s="5">
        <v>119.5</v>
      </c>
      <c r="Y114" s="5">
        <v>109.1</v>
      </c>
      <c r="Z114" s="5">
        <v>118.8</v>
      </c>
      <c r="AA114" s="5">
        <v>126.3</v>
      </c>
      <c r="AB114" s="5">
        <v>116.2</v>
      </c>
      <c r="AC114" s="5">
        <v>117.2</v>
      </c>
      <c r="AD114" s="5">
        <v>123.8</v>
      </c>
    </row>
    <row r="115" spans="1:30" x14ac:dyDescent="0.3">
      <c r="A115" s="6" t="s">
        <v>34</v>
      </c>
      <c r="B115" s="6">
        <v>2016</v>
      </c>
      <c r="C115" s="6" t="s">
        <v>35</v>
      </c>
      <c r="D115" s="6">
        <v>126.4</v>
      </c>
      <c r="E115" s="6">
        <v>134.19999999999999</v>
      </c>
      <c r="F115" s="6">
        <v>128.69999999999999</v>
      </c>
      <c r="G115" s="6">
        <v>130.30000000000001</v>
      </c>
      <c r="H115" s="6">
        <v>114.8</v>
      </c>
      <c r="I115" s="6">
        <v>124.9</v>
      </c>
      <c r="J115" s="6">
        <v>130.30000000000001</v>
      </c>
      <c r="K115" s="6">
        <v>167.4</v>
      </c>
      <c r="L115" s="6">
        <v>98.8</v>
      </c>
      <c r="M115" s="6">
        <v>133.6</v>
      </c>
      <c r="N115" s="6">
        <v>123</v>
      </c>
      <c r="O115" s="6">
        <v>135.80000000000001</v>
      </c>
      <c r="P115" s="6">
        <v>129.9</v>
      </c>
      <c r="Q115" s="6">
        <v>135.9</v>
      </c>
      <c r="R115" s="6">
        <v>130.9</v>
      </c>
      <c r="S115" s="6">
        <v>125.8</v>
      </c>
      <c r="T115" s="6">
        <v>130.19999999999999</v>
      </c>
      <c r="U115" s="6">
        <v>124.4</v>
      </c>
      <c r="V115" s="6">
        <v>123.1</v>
      </c>
      <c r="W115" s="6">
        <v>124.6</v>
      </c>
      <c r="X115" s="6">
        <v>122.5</v>
      </c>
      <c r="Y115" s="6">
        <v>111.4</v>
      </c>
      <c r="Z115" s="6">
        <v>120.3</v>
      </c>
      <c r="AA115" s="6">
        <v>126.6</v>
      </c>
      <c r="AB115" s="6">
        <v>116.6</v>
      </c>
      <c r="AC115" s="6">
        <v>119.1</v>
      </c>
      <c r="AD115" s="6">
        <v>126</v>
      </c>
    </row>
    <row r="116" spans="1:30" x14ac:dyDescent="0.3">
      <c r="A116" s="5" t="s">
        <v>30</v>
      </c>
      <c r="B116" s="5">
        <v>2016</v>
      </c>
      <c r="C116" s="5" t="s">
        <v>36</v>
      </c>
      <c r="D116" s="5">
        <v>127.3</v>
      </c>
      <c r="E116" s="5">
        <v>134.4</v>
      </c>
      <c r="F116" s="5">
        <v>125.1</v>
      </c>
      <c r="G116" s="5">
        <v>130.5</v>
      </c>
      <c r="H116" s="5">
        <v>118.3</v>
      </c>
      <c r="I116" s="5">
        <v>131.69999999999999</v>
      </c>
      <c r="J116" s="5">
        <v>130.69999999999999</v>
      </c>
      <c r="K116" s="5">
        <v>161.19999999999999</v>
      </c>
      <c r="L116" s="5">
        <v>100.4</v>
      </c>
      <c r="M116" s="5">
        <v>130.80000000000001</v>
      </c>
      <c r="N116" s="5">
        <v>124.9</v>
      </c>
      <c r="O116" s="5">
        <v>137</v>
      </c>
      <c r="P116" s="5">
        <v>130.4</v>
      </c>
      <c r="Q116" s="5">
        <v>135</v>
      </c>
      <c r="R116" s="5">
        <v>134.4</v>
      </c>
      <c r="S116" s="5">
        <v>130.19999999999999</v>
      </c>
      <c r="T116" s="5">
        <v>133.80000000000001</v>
      </c>
      <c r="U116" s="5" t="s">
        <v>32</v>
      </c>
      <c r="V116" s="5">
        <v>127</v>
      </c>
      <c r="W116" s="5">
        <v>127.7</v>
      </c>
      <c r="X116" s="5">
        <v>124.8</v>
      </c>
      <c r="Y116" s="5">
        <v>113.6</v>
      </c>
      <c r="Z116" s="5">
        <v>122.5</v>
      </c>
      <c r="AA116" s="5">
        <v>127.5</v>
      </c>
      <c r="AB116" s="5">
        <v>117.4</v>
      </c>
      <c r="AC116" s="5">
        <v>121.1</v>
      </c>
      <c r="AD116" s="5">
        <v>128</v>
      </c>
    </row>
    <row r="117" spans="1:30" x14ac:dyDescent="0.3">
      <c r="A117" s="6" t="s">
        <v>33</v>
      </c>
      <c r="B117" s="6">
        <v>2016</v>
      </c>
      <c r="C117" s="6" t="s">
        <v>36</v>
      </c>
      <c r="D117" s="6">
        <v>124.8</v>
      </c>
      <c r="E117" s="6">
        <v>136.30000000000001</v>
      </c>
      <c r="F117" s="6">
        <v>123.7</v>
      </c>
      <c r="G117" s="6">
        <v>129.69999999999999</v>
      </c>
      <c r="H117" s="6">
        <v>107.9</v>
      </c>
      <c r="I117" s="6">
        <v>119.9</v>
      </c>
      <c r="J117" s="6">
        <v>128.1</v>
      </c>
      <c r="K117" s="6">
        <v>170.3</v>
      </c>
      <c r="L117" s="6">
        <v>101.8</v>
      </c>
      <c r="M117" s="6">
        <v>140.1</v>
      </c>
      <c r="N117" s="6">
        <v>120.7</v>
      </c>
      <c r="O117" s="6">
        <v>135.4</v>
      </c>
      <c r="P117" s="6">
        <v>128.9</v>
      </c>
      <c r="Q117" s="6">
        <v>140.6</v>
      </c>
      <c r="R117" s="6">
        <v>126.4</v>
      </c>
      <c r="S117" s="6">
        <v>120.3</v>
      </c>
      <c r="T117" s="6">
        <v>125.5</v>
      </c>
      <c r="U117" s="6">
        <v>124.9</v>
      </c>
      <c r="V117" s="6">
        <v>114.8</v>
      </c>
      <c r="W117" s="6">
        <v>122.3</v>
      </c>
      <c r="X117" s="6">
        <v>119.7</v>
      </c>
      <c r="Y117" s="6">
        <v>108.5</v>
      </c>
      <c r="Z117" s="6">
        <v>119.1</v>
      </c>
      <c r="AA117" s="6">
        <v>126.4</v>
      </c>
      <c r="AB117" s="6">
        <v>117.1</v>
      </c>
      <c r="AC117" s="6">
        <v>117.3</v>
      </c>
      <c r="AD117" s="6">
        <v>123.8</v>
      </c>
    </row>
    <row r="118" spans="1:30" x14ac:dyDescent="0.3">
      <c r="A118" s="5" t="s">
        <v>34</v>
      </c>
      <c r="B118" s="5">
        <v>2016</v>
      </c>
      <c r="C118" s="5" t="s">
        <v>36</v>
      </c>
      <c r="D118" s="5">
        <v>126.5</v>
      </c>
      <c r="E118" s="5">
        <v>135.1</v>
      </c>
      <c r="F118" s="5">
        <v>124.6</v>
      </c>
      <c r="G118" s="5">
        <v>130.19999999999999</v>
      </c>
      <c r="H118" s="5">
        <v>114.5</v>
      </c>
      <c r="I118" s="5">
        <v>126.2</v>
      </c>
      <c r="J118" s="5">
        <v>129.80000000000001</v>
      </c>
      <c r="K118" s="5">
        <v>164.3</v>
      </c>
      <c r="L118" s="5">
        <v>100.9</v>
      </c>
      <c r="M118" s="5">
        <v>133.9</v>
      </c>
      <c r="N118" s="5">
        <v>123.1</v>
      </c>
      <c r="O118" s="5">
        <v>136.30000000000001</v>
      </c>
      <c r="P118" s="5">
        <v>129.80000000000001</v>
      </c>
      <c r="Q118" s="5">
        <v>136.5</v>
      </c>
      <c r="R118" s="5">
        <v>131.30000000000001</v>
      </c>
      <c r="S118" s="5">
        <v>126.1</v>
      </c>
      <c r="T118" s="5">
        <v>130.5</v>
      </c>
      <c r="U118" s="5">
        <v>124.9</v>
      </c>
      <c r="V118" s="5">
        <v>122.4</v>
      </c>
      <c r="W118" s="5">
        <v>125.1</v>
      </c>
      <c r="X118" s="5">
        <v>122.9</v>
      </c>
      <c r="Y118" s="5">
        <v>110.9</v>
      </c>
      <c r="Z118" s="5">
        <v>120.6</v>
      </c>
      <c r="AA118" s="5">
        <v>126.9</v>
      </c>
      <c r="AB118" s="5">
        <v>117.3</v>
      </c>
      <c r="AC118" s="5">
        <v>119.3</v>
      </c>
      <c r="AD118" s="5">
        <v>126</v>
      </c>
    </row>
    <row r="119" spans="1:30" x14ac:dyDescent="0.3">
      <c r="A119" s="6" t="s">
        <v>30</v>
      </c>
      <c r="B119" s="6">
        <v>2016</v>
      </c>
      <c r="C119" s="6" t="s">
        <v>37</v>
      </c>
      <c r="D119" s="6">
        <v>127.4</v>
      </c>
      <c r="E119" s="6">
        <v>135.4</v>
      </c>
      <c r="F119" s="6">
        <v>123.4</v>
      </c>
      <c r="G119" s="6">
        <v>131.30000000000001</v>
      </c>
      <c r="H119" s="6">
        <v>118.2</v>
      </c>
      <c r="I119" s="6">
        <v>138.1</v>
      </c>
      <c r="J119" s="6">
        <v>134.1</v>
      </c>
      <c r="K119" s="6">
        <v>162.69999999999999</v>
      </c>
      <c r="L119" s="6">
        <v>105</v>
      </c>
      <c r="M119" s="6">
        <v>131.4</v>
      </c>
      <c r="N119" s="6">
        <v>125.4</v>
      </c>
      <c r="O119" s="6">
        <v>137.4</v>
      </c>
      <c r="P119" s="6">
        <v>131.80000000000001</v>
      </c>
      <c r="Q119" s="6">
        <v>135.5</v>
      </c>
      <c r="R119" s="6">
        <v>135</v>
      </c>
      <c r="S119" s="6">
        <v>130.6</v>
      </c>
      <c r="T119" s="6">
        <v>134.4</v>
      </c>
      <c r="U119" s="6" t="s">
        <v>32</v>
      </c>
      <c r="V119" s="6">
        <v>127</v>
      </c>
      <c r="W119" s="6">
        <v>128</v>
      </c>
      <c r="X119" s="6">
        <v>125.2</v>
      </c>
      <c r="Y119" s="6">
        <v>114.4</v>
      </c>
      <c r="Z119" s="6">
        <v>123.2</v>
      </c>
      <c r="AA119" s="6">
        <v>127.9</v>
      </c>
      <c r="AB119" s="6">
        <v>118.4</v>
      </c>
      <c r="AC119" s="6">
        <v>121.7</v>
      </c>
      <c r="AD119" s="6">
        <v>129</v>
      </c>
    </row>
    <row r="120" spans="1:30" x14ac:dyDescent="0.3">
      <c r="A120" s="5" t="s">
        <v>33</v>
      </c>
      <c r="B120" s="5">
        <v>2016</v>
      </c>
      <c r="C120" s="5" t="s">
        <v>37</v>
      </c>
      <c r="D120" s="5">
        <v>124.9</v>
      </c>
      <c r="E120" s="5">
        <v>139.30000000000001</v>
      </c>
      <c r="F120" s="5">
        <v>119.9</v>
      </c>
      <c r="G120" s="5">
        <v>130.19999999999999</v>
      </c>
      <c r="H120" s="5">
        <v>108.9</v>
      </c>
      <c r="I120" s="5">
        <v>131.1</v>
      </c>
      <c r="J120" s="5">
        <v>136.80000000000001</v>
      </c>
      <c r="K120" s="5">
        <v>176.9</v>
      </c>
      <c r="L120" s="5">
        <v>109.1</v>
      </c>
      <c r="M120" s="5">
        <v>140.4</v>
      </c>
      <c r="N120" s="5">
        <v>121.1</v>
      </c>
      <c r="O120" s="5">
        <v>135.9</v>
      </c>
      <c r="P120" s="5">
        <v>131.80000000000001</v>
      </c>
      <c r="Q120" s="5">
        <v>141.5</v>
      </c>
      <c r="R120" s="5">
        <v>126.8</v>
      </c>
      <c r="S120" s="5">
        <v>120.5</v>
      </c>
      <c r="T120" s="5">
        <v>125.8</v>
      </c>
      <c r="U120" s="5">
        <v>125.6</v>
      </c>
      <c r="V120" s="5">
        <v>114.6</v>
      </c>
      <c r="W120" s="5">
        <v>122.8</v>
      </c>
      <c r="X120" s="5">
        <v>120</v>
      </c>
      <c r="Y120" s="5">
        <v>110</v>
      </c>
      <c r="Z120" s="5">
        <v>119.5</v>
      </c>
      <c r="AA120" s="5">
        <v>127.6</v>
      </c>
      <c r="AB120" s="5">
        <v>117.6</v>
      </c>
      <c r="AC120" s="5">
        <v>118.2</v>
      </c>
      <c r="AD120" s="5">
        <v>125.3</v>
      </c>
    </row>
    <row r="121" spans="1:30" x14ac:dyDescent="0.3">
      <c r="A121" s="6" t="s">
        <v>34</v>
      </c>
      <c r="B121" s="6">
        <v>2016</v>
      </c>
      <c r="C121" s="6" t="s">
        <v>37</v>
      </c>
      <c r="D121" s="6">
        <v>126.6</v>
      </c>
      <c r="E121" s="6">
        <v>136.80000000000001</v>
      </c>
      <c r="F121" s="6">
        <v>122</v>
      </c>
      <c r="G121" s="6">
        <v>130.9</v>
      </c>
      <c r="H121" s="6">
        <v>114.8</v>
      </c>
      <c r="I121" s="6">
        <v>134.80000000000001</v>
      </c>
      <c r="J121" s="6">
        <v>135</v>
      </c>
      <c r="K121" s="6">
        <v>167.5</v>
      </c>
      <c r="L121" s="6">
        <v>106.4</v>
      </c>
      <c r="M121" s="6">
        <v>134.4</v>
      </c>
      <c r="N121" s="6">
        <v>123.6</v>
      </c>
      <c r="O121" s="6">
        <v>136.69999999999999</v>
      </c>
      <c r="P121" s="6">
        <v>131.80000000000001</v>
      </c>
      <c r="Q121" s="6">
        <v>137.1</v>
      </c>
      <c r="R121" s="6">
        <v>131.80000000000001</v>
      </c>
      <c r="S121" s="6">
        <v>126.4</v>
      </c>
      <c r="T121" s="6">
        <v>131</v>
      </c>
      <c r="U121" s="6">
        <v>125.6</v>
      </c>
      <c r="V121" s="6">
        <v>122.3</v>
      </c>
      <c r="W121" s="6">
        <v>125.5</v>
      </c>
      <c r="X121" s="6">
        <v>123.2</v>
      </c>
      <c r="Y121" s="6">
        <v>112.1</v>
      </c>
      <c r="Z121" s="6">
        <v>121.1</v>
      </c>
      <c r="AA121" s="6">
        <v>127.7</v>
      </c>
      <c r="AB121" s="6">
        <v>118.1</v>
      </c>
      <c r="AC121" s="6">
        <v>120</v>
      </c>
      <c r="AD121" s="6">
        <v>127.3</v>
      </c>
    </row>
    <row r="122" spans="1:30" x14ac:dyDescent="0.3">
      <c r="A122" s="5" t="s">
        <v>30</v>
      </c>
      <c r="B122" s="5">
        <v>2016</v>
      </c>
      <c r="C122" s="5" t="s">
        <v>38</v>
      </c>
      <c r="D122" s="5">
        <v>127.6</v>
      </c>
      <c r="E122" s="5">
        <v>137.5</v>
      </c>
      <c r="F122" s="5">
        <v>124.4</v>
      </c>
      <c r="G122" s="5">
        <v>132.4</v>
      </c>
      <c r="H122" s="5">
        <v>118.2</v>
      </c>
      <c r="I122" s="5">
        <v>138.1</v>
      </c>
      <c r="J122" s="5">
        <v>141.80000000000001</v>
      </c>
      <c r="K122" s="5">
        <v>166</v>
      </c>
      <c r="L122" s="5">
        <v>107.5</v>
      </c>
      <c r="M122" s="5">
        <v>132.19999999999999</v>
      </c>
      <c r="N122" s="5">
        <v>126.1</v>
      </c>
      <c r="O122" s="5">
        <v>138.30000000000001</v>
      </c>
      <c r="P122" s="5">
        <v>133.6</v>
      </c>
      <c r="Q122" s="5">
        <v>136</v>
      </c>
      <c r="R122" s="5">
        <v>135.4</v>
      </c>
      <c r="S122" s="5">
        <v>131.1</v>
      </c>
      <c r="T122" s="5">
        <v>134.80000000000001</v>
      </c>
      <c r="U122" s="5" t="s">
        <v>32</v>
      </c>
      <c r="V122" s="5">
        <v>127.4</v>
      </c>
      <c r="W122" s="5">
        <v>128.5</v>
      </c>
      <c r="X122" s="5">
        <v>125.8</v>
      </c>
      <c r="Y122" s="5">
        <v>115.1</v>
      </c>
      <c r="Z122" s="5">
        <v>123.6</v>
      </c>
      <c r="AA122" s="5">
        <v>129.1</v>
      </c>
      <c r="AB122" s="5">
        <v>119.7</v>
      </c>
      <c r="AC122" s="5">
        <v>122.5</v>
      </c>
      <c r="AD122" s="5">
        <v>130.30000000000001</v>
      </c>
    </row>
    <row r="123" spans="1:30" x14ac:dyDescent="0.3">
      <c r="A123" s="6" t="s">
        <v>33</v>
      </c>
      <c r="B123" s="6">
        <v>2016</v>
      </c>
      <c r="C123" s="6" t="s">
        <v>38</v>
      </c>
      <c r="D123" s="6">
        <v>125</v>
      </c>
      <c r="E123" s="6">
        <v>142.1</v>
      </c>
      <c r="F123" s="6">
        <v>127</v>
      </c>
      <c r="G123" s="6">
        <v>130.4</v>
      </c>
      <c r="H123" s="6">
        <v>109.6</v>
      </c>
      <c r="I123" s="6">
        <v>133.5</v>
      </c>
      <c r="J123" s="6">
        <v>151.4</v>
      </c>
      <c r="K123" s="6">
        <v>182.8</v>
      </c>
      <c r="L123" s="6">
        <v>111.1</v>
      </c>
      <c r="M123" s="6">
        <v>141.5</v>
      </c>
      <c r="N123" s="6">
        <v>121.5</v>
      </c>
      <c r="O123" s="6">
        <v>136.30000000000001</v>
      </c>
      <c r="P123" s="6">
        <v>134.6</v>
      </c>
      <c r="Q123" s="6">
        <v>142.19999999999999</v>
      </c>
      <c r="R123" s="6">
        <v>127.2</v>
      </c>
      <c r="S123" s="6">
        <v>120.7</v>
      </c>
      <c r="T123" s="6">
        <v>126.2</v>
      </c>
      <c r="U123" s="6">
        <v>126</v>
      </c>
      <c r="V123" s="6">
        <v>115</v>
      </c>
      <c r="W123" s="6">
        <v>123.2</v>
      </c>
      <c r="X123" s="6">
        <v>120.3</v>
      </c>
      <c r="Y123" s="6">
        <v>110.7</v>
      </c>
      <c r="Z123" s="6">
        <v>119.8</v>
      </c>
      <c r="AA123" s="6">
        <v>128</v>
      </c>
      <c r="AB123" s="6">
        <v>118.5</v>
      </c>
      <c r="AC123" s="6">
        <v>118.7</v>
      </c>
      <c r="AD123" s="6">
        <v>126.6</v>
      </c>
    </row>
    <row r="124" spans="1:30" x14ac:dyDescent="0.3">
      <c r="A124" s="5" t="s">
        <v>34</v>
      </c>
      <c r="B124" s="5">
        <v>2016</v>
      </c>
      <c r="C124" s="5" t="s">
        <v>38</v>
      </c>
      <c r="D124" s="5">
        <v>126.8</v>
      </c>
      <c r="E124" s="5">
        <v>139.1</v>
      </c>
      <c r="F124" s="5">
        <v>125.4</v>
      </c>
      <c r="G124" s="5">
        <v>131.69999999999999</v>
      </c>
      <c r="H124" s="5">
        <v>115</v>
      </c>
      <c r="I124" s="5">
        <v>136</v>
      </c>
      <c r="J124" s="5">
        <v>145.1</v>
      </c>
      <c r="K124" s="5">
        <v>171.7</v>
      </c>
      <c r="L124" s="5">
        <v>108.7</v>
      </c>
      <c r="M124" s="5">
        <v>135.30000000000001</v>
      </c>
      <c r="N124" s="5">
        <v>124.2</v>
      </c>
      <c r="O124" s="5">
        <v>137.4</v>
      </c>
      <c r="P124" s="5">
        <v>134</v>
      </c>
      <c r="Q124" s="5">
        <v>137.69999999999999</v>
      </c>
      <c r="R124" s="5">
        <v>132.19999999999999</v>
      </c>
      <c r="S124" s="5">
        <v>126.8</v>
      </c>
      <c r="T124" s="5">
        <v>131.4</v>
      </c>
      <c r="U124" s="5">
        <v>126</v>
      </c>
      <c r="V124" s="5">
        <v>122.7</v>
      </c>
      <c r="W124" s="5">
        <v>126</v>
      </c>
      <c r="X124" s="5">
        <v>123.7</v>
      </c>
      <c r="Y124" s="5">
        <v>112.8</v>
      </c>
      <c r="Z124" s="5">
        <v>121.5</v>
      </c>
      <c r="AA124" s="5">
        <v>128.5</v>
      </c>
      <c r="AB124" s="5">
        <v>119.2</v>
      </c>
      <c r="AC124" s="5">
        <v>120.7</v>
      </c>
      <c r="AD124" s="5">
        <v>128.6</v>
      </c>
    </row>
    <row r="125" spans="1:30" x14ac:dyDescent="0.3">
      <c r="A125" s="6" t="s">
        <v>30</v>
      </c>
      <c r="B125" s="6">
        <v>2016</v>
      </c>
      <c r="C125" s="6" t="s">
        <v>39</v>
      </c>
      <c r="D125" s="6">
        <v>128.6</v>
      </c>
      <c r="E125" s="6">
        <v>138.6</v>
      </c>
      <c r="F125" s="6">
        <v>126.6</v>
      </c>
      <c r="G125" s="6">
        <v>133.6</v>
      </c>
      <c r="H125" s="6">
        <v>118.6</v>
      </c>
      <c r="I125" s="6">
        <v>137.4</v>
      </c>
      <c r="J125" s="6">
        <v>152.5</v>
      </c>
      <c r="K125" s="6">
        <v>169.2</v>
      </c>
      <c r="L125" s="6">
        <v>108.8</v>
      </c>
      <c r="M125" s="6">
        <v>133.1</v>
      </c>
      <c r="N125" s="6">
        <v>126.4</v>
      </c>
      <c r="O125" s="6">
        <v>139.19999999999999</v>
      </c>
      <c r="P125" s="6">
        <v>136</v>
      </c>
      <c r="Q125" s="6">
        <v>137.19999999999999</v>
      </c>
      <c r="R125" s="6">
        <v>136.30000000000001</v>
      </c>
      <c r="S125" s="6">
        <v>131.6</v>
      </c>
      <c r="T125" s="6">
        <v>135.6</v>
      </c>
      <c r="U125" s="6" t="s">
        <v>32</v>
      </c>
      <c r="V125" s="6">
        <v>128</v>
      </c>
      <c r="W125" s="6">
        <v>129.30000000000001</v>
      </c>
      <c r="X125" s="6">
        <v>126.2</v>
      </c>
      <c r="Y125" s="6">
        <v>116.3</v>
      </c>
      <c r="Z125" s="6">
        <v>124.1</v>
      </c>
      <c r="AA125" s="6">
        <v>130.19999999999999</v>
      </c>
      <c r="AB125" s="6">
        <v>119.9</v>
      </c>
      <c r="AC125" s="6">
        <v>123.3</v>
      </c>
      <c r="AD125" s="6">
        <v>131.9</v>
      </c>
    </row>
    <row r="126" spans="1:30" x14ac:dyDescent="0.3">
      <c r="A126" s="5" t="s">
        <v>33</v>
      </c>
      <c r="B126" s="5">
        <v>2016</v>
      </c>
      <c r="C126" s="5" t="s">
        <v>39</v>
      </c>
      <c r="D126" s="5">
        <v>125.9</v>
      </c>
      <c r="E126" s="5">
        <v>143.9</v>
      </c>
      <c r="F126" s="5">
        <v>130.9</v>
      </c>
      <c r="G126" s="5">
        <v>131</v>
      </c>
      <c r="H126" s="5">
        <v>110.2</v>
      </c>
      <c r="I126" s="5">
        <v>135.5</v>
      </c>
      <c r="J126" s="5">
        <v>173.7</v>
      </c>
      <c r="K126" s="5">
        <v>184.4</v>
      </c>
      <c r="L126" s="5">
        <v>112</v>
      </c>
      <c r="M126" s="5">
        <v>142.80000000000001</v>
      </c>
      <c r="N126" s="5">
        <v>121.6</v>
      </c>
      <c r="O126" s="5">
        <v>136.9</v>
      </c>
      <c r="P126" s="5">
        <v>138.19999999999999</v>
      </c>
      <c r="Q126" s="5">
        <v>142.69999999999999</v>
      </c>
      <c r="R126" s="5">
        <v>127.6</v>
      </c>
      <c r="S126" s="5">
        <v>121.1</v>
      </c>
      <c r="T126" s="5">
        <v>126.6</v>
      </c>
      <c r="U126" s="5">
        <v>125.5</v>
      </c>
      <c r="V126" s="5">
        <v>115.5</v>
      </c>
      <c r="W126" s="5">
        <v>123.2</v>
      </c>
      <c r="X126" s="5">
        <v>120.6</v>
      </c>
      <c r="Y126" s="5">
        <v>112.3</v>
      </c>
      <c r="Z126" s="5">
        <v>119.9</v>
      </c>
      <c r="AA126" s="5">
        <v>129.30000000000001</v>
      </c>
      <c r="AB126" s="5">
        <v>118.8</v>
      </c>
      <c r="AC126" s="5">
        <v>119.6</v>
      </c>
      <c r="AD126" s="5">
        <v>128.1</v>
      </c>
    </row>
    <row r="127" spans="1:30" x14ac:dyDescent="0.3">
      <c r="A127" s="6" t="s">
        <v>34</v>
      </c>
      <c r="B127" s="6">
        <v>2016</v>
      </c>
      <c r="C127" s="6" t="s">
        <v>39</v>
      </c>
      <c r="D127" s="6">
        <v>127.7</v>
      </c>
      <c r="E127" s="6">
        <v>140.5</v>
      </c>
      <c r="F127" s="6">
        <v>128.30000000000001</v>
      </c>
      <c r="G127" s="6">
        <v>132.6</v>
      </c>
      <c r="H127" s="6">
        <v>115.5</v>
      </c>
      <c r="I127" s="6">
        <v>136.5</v>
      </c>
      <c r="J127" s="6">
        <v>159.69999999999999</v>
      </c>
      <c r="K127" s="6">
        <v>174.3</v>
      </c>
      <c r="L127" s="6">
        <v>109.9</v>
      </c>
      <c r="M127" s="6">
        <v>136.30000000000001</v>
      </c>
      <c r="N127" s="6">
        <v>124.4</v>
      </c>
      <c r="O127" s="6">
        <v>138.1</v>
      </c>
      <c r="P127" s="6">
        <v>136.80000000000001</v>
      </c>
      <c r="Q127" s="6">
        <v>138.69999999999999</v>
      </c>
      <c r="R127" s="6">
        <v>132.9</v>
      </c>
      <c r="S127" s="6">
        <v>127.2</v>
      </c>
      <c r="T127" s="6">
        <v>132</v>
      </c>
      <c r="U127" s="6">
        <v>125.5</v>
      </c>
      <c r="V127" s="6">
        <v>123.3</v>
      </c>
      <c r="W127" s="6">
        <v>126.4</v>
      </c>
      <c r="X127" s="6">
        <v>124.1</v>
      </c>
      <c r="Y127" s="6">
        <v>114.2</v>
      </c>
      <c r="Z127" s="6">
        <v>121.7</v>
      </c>
      <c r="AA127" s="6">
        <v>129.69999999999999</v>
      </c>
      <c r="AB127" s="6">
        <v>119.4</v>
      </c>
      <c r="AC127" s="6">
        <v>121.5</v>
      </c>
      <c r="AD127" s="6">
        <v>130.1</v>
      </c>
    </row>
    <row r="128" spans="1:30" x14ac:dyDescent="0.3">
      <c r="A128" s="5" t="s">
        <v>30</v>
      </c>
      <c r="B128" s="5">
        <v>2016</v>
      </c>
      <c r="C128" s="5" t="s">
        <v>40</v>
      </c>
      <c r="D128" s="5">
        <v>129.30000000000001</v>
      </c>
      <c r="E128" s="5">
        <v>139.5</v>
      </c>
      <c r="F128" s="5">
        <v>129.6</v>
      </c>
      <c r="G128" s="5">
        <v>134.5</v>
      </c>
      <c r="H128" s="5">
        <v>119.5</v>
      </c>
      <c r="I128" s="5">
        <v>138.5</v>
      </c>
      <c r="J128" s="5">
        <v>158.19999999999999</v>
      </c>
      <c r="K128" s="5">
        <v>171.8</v>
      </c>
      <c r="L128" s="5">
        <v>110.3</v>
      </c>
      <c r="M128" s="5">
        <v>134.30000000000001</v>
      </c>
      <c r="N128" s="5">
        <v>127.3</v>
      </c>
      <c r="O128" s="5">
        <v>139.9</v>
      </c>
      <c r="P128" s="5">
        <v>137.6</v>
      </c>
      <c r="Q128" s="5">
        <v>138</v>
      </c>
      <c r="R128" s="5">
        <v>137.19999999999999</v>
      </c>
      <c r="S128" s="5">
        <v>132.19999999999999</v>
      </c>
      <c r="T128" s="5">
        <v>136.5</v>
      </c>
      <c r="U128" s="5" t="s">
        <v>32</v>
      </c>
      <c r="V128" s="5">
        <v>128.19999999999999</v>
      </c>
      <c r="W128" s="5">
        <v>130</v>
      </c>
      <c r="X128" s="5">
        <v>126.7</v>
      </c>
      <c r="Y128" s="5">
        <v>116.4</v>
      </c>
      <c r="Z128" s="5">
        <v>125.2</v>
      </c>
      <c r="AA128" s="5">
        <v>130.80000000000001</v>
      </c>
      <c r="AB128" s="5">
        <v>120.9</v>
      </c>
      <c r="AC128" s="5">
        <v>123.8</v>
      </c>
      <c r="AD128" s="5">
        <v>133</v>
      </c>
    </row>
    <row r="129" spans="1:30" x14ac:dyDescent="0.3">
      <c r="A129" s="6" t="s">
        <v>33</v>
      </c>
      <c r="B129" s="6">
        <v>2016</v>
      </c>
      <c r="C129" s="6" t="s">
        <v>40</v>
      </c>
      <c r="D129" s="6">
        <v>126.8</v>
      </c>
      <c r="E129" s="6">
        <v>144.19999999999999</v>
      </c>
      <c r="F129" s="6">
        <v>136.6</v>
      </c>
      <c r="G129" s="6">
        <v>131.80000000000001</v>
      </c>
      <c r="H129" s="6">
        <v>111</v>
      </c>
      <c r="I129" s="6">
        <v>137</v>
      </c>
      <c r="J129" s="6">
        <v>179.5</v>
      </c>
      <c r="K129" s="6">
        <v>188.4</v>
      </c>
      <c r="L129" s="6">
        <v>113.3</v>
      </c>
      <c r="M129" s="6">
        <v>143.9</v>
      </c>
      <c r="N129" s="6">
        <v>121.7</v>
      </c>
      <c r="O129" s="6">
        <v>137.5</v>
      </c>
      <c r="P129" s="6">
        <v>139.80000000000001</v>
      </c>
      <c r="Q129" s="6">
        <v>142.9</v>
      </c>
      <c r="R129" s="6">
        <v>127.9</v>
      </c>
      <c r="S129" s="6">
        <v>121.1</v>
      </c>
      <c r="T129" s="6">
        <v>126.9</v>
      </c>
      <c r="U129" s="6">
        <v>126.4</v>
      </c>
      <c r="V129" s="6">
        <v>115.5</v>
      </c>
      <c r="W129" s="6">
        <v>123.5</v>
      </c>
      <c r="X129" s="6">
        <v>120.9</v>
      </c>
      <c r="Y129" s="6">
        <v>111.7</v>
      </c>
      <c r="Z129" s="6">
        <v>120.3</v>
      </c>
      <c r="AA129" s="6">
        <v>130.80000000000001</v>
      </c>
      <c r="AB129" s="6">
        <v>120</v>
      </c>
      <c r="AC129" s="6">
        <v>119.9</v>
      </c>
      <c r="AD129" s="6">
        <v>129</v>
      </c>
    </row>
    <row r="130" spans="1:30" x14ac:dyDescent="0.3">
      <c r="A130" s="5" t="s">
        <v>34</v>
      </c>
      <c r="B130" s="5">
        <v>2016</v>
      </c>
      <c r="C130" s="5" t="s">
        <v>40</v>
      </c>
      <c r="D130" s="5">
        <v>128.5</v>
      </c>
      <c r="E130" s="5">
        <v>141.19999999999999</v>
      </c>
      <c r="F130" s="5">
        <v>132.30000000000001</v>
      </c>
      <c r="G130" s="5">
        <v>133.5</v>
      </c>
      <c r="H130" s="5">
        <v>116.4</v>
      </c>
      <c r="I130" s="5">
        <v>137.80000000000001</v>
      </c>
      <c r="J130" s="5">
        <v>165.4</v>
      </c>
      <c r="K130" s="5">
        <v>177.4</v>
      </c>
      <c r="L130" s="5">
        <v>111.3</v>
      </c>
      <c r="M130" s="5">
        <v>137.5</v>
      </c>
      <c r="N130" s="5">
        <v>125</v>
      </c>
      <c r="O130" s="5">
        <v>138.80000000000001</v>
      </c>
      <c r="P130" s="5">
        <v>138.4</v>
      </c>
      <c r="Q130" s="5">
        <v>139.30000000000001</v>
      </c>
      <c r="R130" s="5">
        <v>133.5</v>
      </c>
      <c r="S130" s="5">
        <v>127.6</v>
      </c>
      <c r="T130" s="5">
        <v>132.69999999999999</v>
      </c>
      <c r="U130" s="5">
        <v>126.4</v>
      </c>
      <c r="V130" s="5">
        <v>123.4</v>
      </c>
      <c r="W130" s="5">
        <v>126.9</v>
      </c>
      <c r="X130" s="5">
        <v>124.5</v>
      </c>
      <c r="Y130" s="5">
        <v>113.9</v>
      </c>
      <c r="Z130" s="5">
        <v>122.4</v>
      </c>
      <c r="AA130" s="5">
        <v>130.80000000000001</v>
      </c>
      <c r="AB130" s="5">
        <v>120.5</v>
      </c>
      <c r="AC130" s="5">
        <v>121.9</v>
      </c>
      <c r="AD130" s="5">
        <v>131.1</v>
      </c>
    </row>
    <row r="131" spans="1:30" x14ac:dyDescent="0.3">
      <c r="A131" s="6" t="s">
        <v>30</v>
      </c>
      <c r="B131" s="6">
        <v>2016</v>
      </c>
      <c r="C131" s="6" t="s">
        <v>41</v>
      </c>
      <c r="D131" s="6">
        <v>130.1</v>
      </c>
      <c r="E131" s="6">
        <v>138.80000000000001</v>
      </c>
      <c r="F131" s="6">
        <v>130.30000000000001</v>
      </c>
      <c r="G131" s="6">
        <v>135.30000000000001</v>
      </c>
      <c r="H131" s="6">
        <v>119.9</v>
      </c>
      <c r="I131" s="6">
        <v>140.19999999999999</v>
      </c>
      <c r="J131" s="6">
        <v>156.9</v>
      </c>
      <c r="K131" s="6">
        <v>172.2</v>
      </c>
      <c r="L131" s="6">
        <v>112.1</v>
      </c>
      <c r="M131" s="6">
        <v>134.9</v>
      </c>
      <c r="N131" s="6">
        <v>128.1</v>
      </c>
      <c r="O131" s="6">
        <v>140.69999999999999</v>
      </c>
      <c r="P131" s="6">
        <v>138</v>
      </c>
      <c r="Q131" s="6">
        <v>138.9</v>
      </c>
      <c r="R131" s="6">
        <v>137.80000000000001</v>
      </c>
      <c r="S131" s="6">
        <v>133</v>
      </c>
      <c r="T131" s="6">
        <v>137.1</v>
      </c>
      <c r="U131" s="6" t="s">
        <v>32</v>
      </c>
      <c r="V131" s="6">
        <v>129.1</v>
      </c>
      <c r="W131" s="6">
        <v>130.6</v>
      </c>
      <c r="X131" s="6">
        <v>127</v>
      </c>
      <c r="Y131" s="6">
        <v>116</v>
      </c>
      <c r="Z131" s="6">
        <v>125.5</v>
      </c>
      <c r="AA131" s="6">
        <v>131.9</v>
      </c>
      <c r="AB131" s="6">
        <v>122</v>
      </c>
      <c r="AC131" s="6">
        <v>124.2</v>
      </c>
      <c r="AD131" s="6">
        <v>133.5</v>
      </c>
    </row>
    <row r="132" spans="1:30" x14ac:dyDescent="0.3">
      <c r="A132" s="5" t="s">
        <v>33</v>
      </c>
      <c r="B132" s="5">
        <v>2016</v>
      </c>
      <c r="C132" s="5" t="s">
        <v>41</v>
      </c>
      <c r="D132" s="5">
        <v>127.6</v>
      </c>
      <c r="E132" s="5">
        <v>140.30000000000001</v>
      </c>
      <c r="F132" s="5">
        <v>133.69999999999999</v>
      </c>
      <c r="G132" s="5">
        <v>132.19999999999999</v>
      </c>
      <c r="H132" s="5">
        <v>111.8</v>
      </c>
      <c r="I132" s="5">
        <v>135.80000000000001</v>
      </c>
      <c r="J132" s="5">
        <v>163.5</v>
      </c>
      <c r="K132" s="5">
        <v>182.3</v>
      </c>
      <c r="L132" s="5">
        <v>114.6</v>
      </c>
      <c r="M132" s="5">
        <v>144.6</v>
      </c>
      <c r="N132" s="5">
        <v>121.9</v>
      </c>
      <c r="O132" s="5">
        <v>138.1</v>
      </c>
      <c r="P132" s="5">
        <v>137.6</v>
      </c>
      <c r="Q132" s="5">
        <v>143.6</v>
      </c>
      <c r="R132" s="5">
        <v>128.30000000000001</v>
      </c>
      <c r="S132" s="5">
        <v>121.4</v>
      </c>
      <c r="T132" s="5">
        <v>127.3</v>
      </c>
      <c r="U132" s="5">
        <v>127.3</v>
      </c>
      <c r="V132" s="5">
        <v>114.7</v>
      </c>
      <c r="W132" s="5">
        <v>123.9</v>
      </c>
      <c r="X132" s="5">
        <v>121.2</v>
      </c>
      <c r="Y132" s="5">
        <v>110.4</v>
      </c>
      <c r="Z132" s="5">
        <v>120.6</v>
      </c>
      <c r="AA132" s="5">
        <v>131.5</v>
      </c>
      <c r="AB132" s="5">
        <v>120.9</v>
      </c>
      <c r="AC132" s="5">
        <v>119.9</v>
      </c>
      <c r="AD132" s="5">
        <v>128.4</v>
      </c>
    </row>
    <row r="133" spans="1:30" x14ac:dyDescent="0.3">
      <c r="A133" s="6" t="s">
        <v>34</v>
      </c>
      <c r="B133" s="6">
        <v>2016</v>
      </c>
      <c r="C133" s="6" t="s">
        <v>41</v>
      </c>
      <c r="D133" s="6">
        <v>129.30000000000001</v>
      </c>
      <c r="E133" s="6">
        <v>139.30000000000001</v>
      </c>
      <c r="F133" s="6">
        <v>131.6</v>
      </c>
      <c r="G133" s="6">
        <v>134.1</v>
      </c>
      <c r="H133" s="6">
        <v>116.9</v>
      </c>
      <c r="I133" s="6">
        <v>138.1</v>
      </c>
      <c r="J133" s="6">
        <v>159.1</v>
      </c>
      <c r="K133" s="6">
        <v>175.6</v>
      </c>
      <c r="L133" s="6">
        <v>112.9</v>
      </c>
      <c r="M133" s="6">
        <v>138.1</v>
      </c>
      <c r="N133" s="6">
        <v>125.5</v>
      </c>
      <c r="O133" s="6">
        <v>139.5</v>
      </c>
      <c r="P133" s="6">
        <v>137.9</v>
      </c>
      <c r="Q133" s="6">
        <v>140.19999999999999</v>
      </c>
      <c r="R133" s="6">
        <v>134.1</v>
      </c>
      <c r="S133" s="6">
        <v>128.19999999999999</v>
      </c>
      <c r="T133" s="6">
        <v>133.19999999999999</v>
      </c>
      <c r="U133" s="6">
        <v>127.3</v>
      </c>
      <c r="V133" s="6">
        <v>123.6</v>
      </c>
      <c r="W133" s="6">
        <v>127.4</v>
      </c>
      <c r="X133" s="6">
        <v>124.8</v>
      </c>
      <c r="Y133" s="6">
        <v>113.1</v>
      </c>
      <c r="Z133" s="6">
        <v>122.7</v>
      </c>
      <c r="AA133" s="6">
        <v>131.69999999999999</v>
      </c>
      <c r="AB133" s="6">
        <v>121.5</v>
      </c>
      <c r="AC133" s="6">
        <v>122.1</v>
      </c>
      <c r="AD133" s="6">
        <v>131.1</v>
      </c>
    </row>
    <row r="134" spans="1:30" x14ac:dyDescent="0.3">
      <c r="A134" s="5" t="s">
        <v>30</v>
      </c>
      <c r="B134" s="5">
        <v>2016</v>
      </c>
      <c r="C134" s="5" t="s">
        <v>42</v>
      </c>
      <c r="D134" s="5">
        <v>130.80000000000001</v>
      </c>
      <c r="E134" s="5">
        <v>138.19999999999999</v>
      </c>
      <c r="F134" s="5">
        <v>130.5</v>
      </c>
      <c r="G134" s="5">
        <v>135.5</v>
      </c>
      <c r="H134" s="5">
        <v>120.2</v>
      </c>
      <c r="I134" s="5">
        <v>139.19999999999999</v>
      </c>
      <c r="J134" s="5">
        <v>149.5</v>
      </c>
      <c r="K134" s="5">
        <v>170.4</v>
      </c>
      <c r="L134" s="5">
        <v>113.1</v>
      </c>
      <c r="M134" s="5">
        <v>135.80000000000001</v>
      </c>
      <c r="N134" s="5">
        <v>128.80000000000001</v>
      </c>
      <c r="O134" s="5">
        <v>141.5</v>
      </c>
      <c r="P134" s="5">
        <v>137.19999999999999</v>
      </c>
      <c r="Q134" s="5">
        <v>139.9</v>
      </c>
      <c r="R134" s="5">
        <v>138.5</v>
      </c>
      <c r="S134" s="5">
        <v>133.5</v>
      </c>
      <c r="T134" s="5">
        <v>137.80000000000001</v>
      </c>
      <c r="U134" s="5" t="s">
        <v>32</v>
      </c>
      <c r="V134" s="5">
        <v>129.69999999999999</v>
      </c>
      <c r="W134" s="5">
        <v>131.1</v>
      </c>
      <c r="X134" s="5">
        <v>127.8</v>
      </c>
      <c r="Y134" s="5">
        <v>117</v>
      </c>
      <c r="Z134" s="5">
        <v>125.7</v>
      </c>
      <c r="AA134" s="5">
        <v>132.19999999999999</v>
      </c>
      <c r="AB134" s="5">
        <v>122.8</v>
      </c>
      <c r="AC134" s="5">
        <v>124.9</v>
      </c>
      <c r="AD134" s="5">
        <v>133.4</v>
      </c>
    </row>
    <row r="135" spans="1:30" x14ac:dyDescent="0.3">
      <c r="A135" s="6" t="s">
        <v>33</v>
      </c>
      <c r="B135" s="6">
        <v>2016</v>
      </c>
      <c r="C135" s="6" t="s">
        <v>42</v>
      </c>
      <c r="D135" s="6">
        <v>128.1</v>
      </c>
      <c r="E135" s="6">
        <v>137.69999999999999</v>
      </c>
      <c r="F135" s="6">
        <v>130.6</v>
      </c>
      <c r="G135" s="6">
        <v>132.6</v>
      </c>
      <c r="H135" s="6">
        <v>111.9</v>
      </c>
      <c r="I135" s="6">
        <v>132.5</v>
      </c>
      <c r="J135" s="6">
        <v>152.9</v>
      </c>
      <c r="K135" s="6">
        <v>173.6</v>
      </c>
      <c r="L135" s="6">
        <v>115.1</v>
      </c>
      <c r="M135" s="6">
        <v>144.80000000000001</v>
      </c>
      <c r="N135" s="6">
        <v>122.1</v>
      </c>
      <c r="O135" s="6">
        <v>138.80000000000001</v>
      </c>
      <c r="P135" s="6">
        <v>135.69999999999999</v>
      </c>
      <c r="Q135" s="6">
        <v>143.9</v>
      </c>
      <c r="R135" s="6">
        <v>128.69999999999999</v>
      </c>
      <c r="S135" s="6">
        <v>121.6</v>
      </c>
      <c r="T135" s="6">
        <v>127.7</v>
      </c>
      <c r="U135" s="6">
        <v>127.9</v>
      </c>
      <c r="V135" s="6">
        <v>114.8</v>
      </c>
      <c r="W135" s="6">
        <v>124.3</v>
      </c>
      <c r="X135" s="6">
        <v>121.4</v>
      </c>
      <c r="Y135" s="6">
        <v>111.8</v>
      </c>
      <c r="Z135" s="6">
        <v>120.8</v>
      </c>
      <c r="AA135" s="6">
        <v>131.6</v>
      </c>
      <c r="AB135" s="6">
        <v>121.2</v>
      </c>
      <c r="AC135" s="6">
        <v>120.5</v>
      </c>
      <c r="AD135" s="6">
        <v>128</v>
      </c>
    </row>
    <row r="136" spans="1:30" x14ac:dyDescent="0.3">
      <c r="A136" s="5" t="s">
        <v>34</v>
      </c>
      <c r="B136" s="5">
        <v>2016</v>
      </c>
      <c r="C136" s="5" t="s">
        <v>42</v>
      </c>
      <c r="D136" s="5">
        <v>129.9</v>
      </c>
      <c r="E136" s="5">
        <v>138</v>
      </c>
      <c r="F136" s="5">
        <v>130.5</v>
      </c>
      <c r="G136" s="5">
        <v>134.4</v>
      </c>
      <c r="H136" s="5">
        <v>117.2</v>
      </c>
      <c r="I136" s="5">
        <v>136.1</v>
      </c>
      <c r="J136" s="5">
        <v>150.69999999999999</v>
      </c>
      <c r="K136" s="5">
        <v>171.5</v>
      </c>
      <c r="L136" s="5">
        <v>113.8</v>
      </c>
      <c r="M136" s="5">
        <v>138.80000000000001</v>
      </c>
      <c r="N136" s="5">
        <v>126</v>
      </c>
      <c r="O136" s="5">
        <v>140.19999999999999</v>
      </c>
      <c r="P136" s="5">
        <v>136.6</v>
      </c>
      <c r="Q136" s="5">
        <v>141</v>
      </c>
      <c r="R136" s="5">
        <v>134.6</v>
      </c>
      <c r="S136" s="5">
        <v>128.6</v>
      </c>
      <c r="T136" s="5">
        <v>133.80000000000001</v>
      </c>
      <c r="U136" s="5">
        <v>127.9</v>
      </c>
      <c r="V136" s="5">
        <v>124.1</v>
      </c>
      <c r="W136" s="5">
        <v>127.9</v>
      </c>
      <c r="X136" s="5">
        <v>125.4</v>
      </c>
      <c r="Y136" s="5">
        <v>114.3</v>
      </c>
      <c r="Z136" s="5">
        <v>122.9</v>
      </c>
      <c r="AA136" s="5">
        <v>131.80000000000001</v>
      </c>
      <c r="AB136" s="5">
        <v>122.1</v>
      </c>
      <c r="AC136" s="5">
        <v>122.8</v>
      </c>
      <c r="AD136" s="5">
        <v>130.9</v>
      </c>
    </row>
    <row r="137" spans="1:30" x14ac:dyDescent="0.3">
      <c r="A137" s="6" t="s">
        <v>30</v>
      </c>
      <c r="B137" s="6">
        <v>2016</v>
      </c>
      <c r="C137" s="6" t="s">
        <v>43</v>
      </c>
      <c r="D137" s="6">
        <v>131.30000000000001</v>
      </c>
      <c r="E137" s="6">
        <v>137.6</v>
      </c>
      <c r="F137" s="6">
        <v>130.1</v>
      </c>
      <c r="G137" s="6">
        <v>136</v>
      </c>
      <c r="H137" s="6">
        <v>120.8</v>
      </c>
      <c r="I137" s="6">
        <v>138.4</v>
      </c>
      <c r="J137" s="6">
        <v>149.19999999999999</v>
      </c>
      <c r="K137" s="6">
        <v>170.2</v>
      </c>
      <c r="L137" s="6">
        <v>113.4</v>
      </c>
      <c r="M137" s="6">
        <v>136.30000000000001</v>
      </c>
      <c r="N137" s="6">
        <v>128.69999999999999</v>
      </c>
      <c r="O137" s="6">
        <v>142.4</v>
      </c>
      <c r="P137" s="6">
        <v>137.4</v>
      </c>
      <c r="Q137" s="6">
        <v>140.9</v>
      </c>
      <c r="R137" s="6">
        <v>139.6</v>
      </c>
      <c r="S137" s="6">
        <v>134.30000000000001</v>
      </c>
      <c r="T137" s="6">
        <v>138.80000000000001</v>
      </c>
      <c r="U137" s="6" t="s">
        <v>32</v>
      </c>
      <c r="V137" s="6">
        <v>129.80000000000001</v>
      </c>
      <c r="W137" s="6">
        <v>131.80000000000001</v>
      </c>
      <c r="X137" s="6">
        <v>128.69999999999999</v>
      </c>
      <c r="Y137" s="6">
        <v>117.8</v>
      </c>
      <c r="Z137" s="6">
        <v>126.5</v>
      </c>
      <c r="AA137" s="6">
        <v>133</v>
      </c>
      <c r="AB137" s="6">
        <v>123</v>
      </c>
      <c r="AC137" s="6">
        <v>125.7</v>
      </c>
      <c r="AD137" s="6">
        <v>133.80000000000001</v>
      </c>
    </row>
    <row r="138" spans="1:30" x14ac:dyDescent="0.3">
      <c r="A138" s="5" t="s">
        <v>33</v>
      </c>
      <c r="B138" s="5">
        <v>2016</v>
      </c>
      <c r="C138" s="5" t="s">
        <v>43</v>
      </c>
      <c r="D138" s="5">
        <v>128.69999999999999</v>
      </c>
      <c r="E138" s="5">
        <v>138.4</v>
      </c>
      <c r="F138" s="5">
        <v>130.30000000000001</v>
      </c>
      <c r="G138" s="5">
        <v>132.69999999999999</v>
      </c>
      <c r="H138" s="5">
        <v>112.5</v>
      </c>
      <c r="I138" s="5">
        <v>130.4</v>
      </c>
      <c r="J138" s="5">
        <v>155.1</v>
      </c>
      <c r="K138" s="5">
        <v>175.7</v>
      </c>
      <c r="L138" s="5">
        <v>115.4</v>
      </c>
      <c r="M138" s="5">
        <v>145.30000000000001</v>
      </c>
      <c r="N138" s="5">
        <v>122.5</v>
      </c>
      <c r="O138" s="5">
        <v>139.6</v>
      </c>
      <c r="P138" s="5">
        <v>136.30000000000001</v>
      </c>
      <c r="Q138" s="5">
        <v>144.30000000000001</v>
      </c>
      <c r="R138" s="5">
        <v>129.1</v>
      </c>
      <c r="S138" s="5">
        <v>121.9</v>
      </c>
      <c r="T138" s="5">
        <v>128</v>
      </c>
      <c r="U138" s="5">
        <v>128.69999999999999</v>
      </c>
      <c r="V138" s="5">
        <v>115.2</v>
      </c>
      <c r="W138" s="5">
        <v>124.5</v>
      </c>
      <c r="X138" s="5">
        <v>121.8</v>
      </c>
      <c r="Y138" s="5">
        <v>112.8</v>
      </c>
      <c r="Z138" s="5">
        <v>121.2</v>
      </c>
      <c r="AA138" s="5">
        <v>131.9</v>
      </c>
      <c r="AB138" s="5">
        <v>120.8</v>
      </c>
      <c r="AC138" s="5">
        <v>120.9</v>
      </c>
      <c r="AD138" s="5">
        <v>128.6</v>
      </c>
    </row>
    <row r="139" spans="1:30" x14ac:dyDescent="0.3">
      <c r="A139" s="6" t="s">
        <v>34</v>
      </c>
      <c r="B139" s="6">
        <v>2016</v>
      </c>
      <c r="C139" s="6" t="s">
        <v>43</v>
      </c>
      <c r="D139" s="6">
        <v>130.5</v>
      </c>
      <c r="E139" s="6">
        <v>137.9</v>
      </c>
      <c r="F139" s="6">
        <v>130.19999999999999</v>
      </c>
      <c r="G139" s="6">
        <v>134.80000000000001</v>
      </c>
      <c r="H139" s="6">
        <v>117.8</v>
      </c>
      <c r="I139" s="6">
        <v>134.69999999999999</v>
      </c>
      <c r="J139" s="6">
        <v>151.19999999999999</v>
      </c>
      <c r="K139" s="6">
        <v>172.1</v>
      </c>
      <c r="L139" s="6">
        <v>114.1</v>
      </c>
      <c r="M139" s="6">
        <v>139.30000000000001</v>
      </c>
      <c r="N139" s="6">
        <v>126.1</v>
      </c>
      <c r="O139" s="6">
        <v>141.1</v>
      </c>
      <c r="P139" s="6">
        <v>137</v>
      </c>
      <c r="Q139" s="6">
        <v>141.80000000000001</v>
      </c>
      <c r="R139" s="6">
        <v>135.5</v>
      </c>
      <c r="S139" s="6">
        <v>129.1</v>
      </c>
      <c r="T139" s="6">
        <v>134.5</v>
      </c>
      <c r="U139" s="6">
        <v>128.69999999999999</v>
      </c>
      <c r="V139" s="6">
        <v>124.3</v>
      </c>
      <c r="W139" s="6">
        <v>128.4</v>
      </c>
      <c r="X139" s="6">
        <v>126.1</v>
      </c>
      <c r="Y139" s="6">
        <v>115.2</v>
      </c>
      <c r="Z139" s="6">
        <v>123.5</v>
      </c>
      <c r="AA139" s="6">
        <v>132.4</v>
      </c>
      <c r="AB139" s="6">
        <v>122.1</v>
      </c>
      <c r="AC139" s="6">
        <v>123.4</v>
      </c>
      <c r="AD139" s="6">
        <v>131.4</v>
      </c>
    </row>
    <row r="140" spans="1:30" x14ac:dyDescent="0.3">
      <c r="A140" s="5" t="s">
        <v>30</v>
      </c>
      <c r="B140" s="5">
        <v>2016</v>
      </c>
      <c r="C140" s="5" t="s">
        <v>45</v>
      </c>
      <c r="D140" s="5">
        <v>132</v>
      </c>
      <c r="E140" s="5">
        <v>137.4</v>
      </c>
      <c r="F140" s="5">
        <v>130.6</v>
      </c>
      <c r="G140" s="5">
        <v>136.19999999999999</v>
      </c>
      <c r="H140" s="5">
        <v>121.1</v>
      </c>
      <c r="I140" s="5">
        <v>136.9</v>
      </c>
      <c r="J140" s="5">
        <v>141.80000000000001</v>
      </c>
      <c r="K140" s="5">
        <v>170</v>
      </c>
      <c r="L140" s="5">
        <v>113.4</v>
      </c>
      <c r="M140" s="5">
        <v>136.80000000000001</v>
      </c>
      <c r="N140" s="5">
        <v>128.69999999999999</v>
      </c>
      <c r="O140" s="5">
        <v>143.1</v>
      </c>
      <c r="P140" s="5">
        <v>136.6</v>
      </c>
      <c r="Q140" s="5">
        <v>141.19999999999999</v>
      </c>
      <c r="R140" s="5">
        <v>139.9</v>
      </c>
      <c r="S140" s="5">
        <v>134.5</v>
      </c>
      <c r="T140" s="5">
        <v>139.19999999999999</v>
      </c>
      <c r="U140" s="5" t="s">
        <v>32</v>
      </c>
      <c r="V140" s="5">
        <v>130.30000000000001</v>
      </c>
      <c r="W140" s="5">
        <v>132.1</v>
      </c>
      <c r="X140" s="5">
        <v>129.1</v>
      </c>
      <c r="Y140" s="5">
        <v>118.2</v>
      </c>
      <c r="Z140" s="5">
        <v>126.9</v>
      </c>
      <c r="AA140" s="5">
        <v>133.69999999999999</v>
      </c>
      <c r="AB140" s="5">
        <v>123.5</v>
      </c>
      <c r="AC140" s="5">
        <v>126.1</v>
      </c>
      <c r="AD140" s="5">
        <v>133.6</v>
      </c>
    </row>
    <row r="141" spans="1:30" x14ac:dyDescent="0.3">
      <c r="A141" s="6" t="s">
        <v>33</v>
      </c>
      <c r="B141" s="6">
        <v>2016</v>
      </c>
      <c r="C141" s="6" t="s">
        <v>45</v>
      </c>
      <c r="D141" s="6">
        <v>130.19999999999999</v>
      </c>
      <c r="E141" s="6">
        <v>138.5</v>
      </c>
      <c r="F141" s="6">
        <v>134.1</v>
      </c>
      <c r="G141" s="6">
        <v>132.9</v>
      </c>
      <c r="H141" s="6">
        <v>112.6</v>
      </c>
      <c r="I141" s="6">
        <v>130.80000000000001</v>
      </c>
      <c r="J141" s="6">
        <v>142</v>
      </c>
      <c r="K141" s="6">
        <v>174.9</v>
      </c>
      <c r="L141" s="6">
        <v>115.6</v>
      </c>
      <c r="M141" s="6">
        <v>145.4</v>
      </c>
      <c r="N141" s="6">
        <v>122.7</v>
      </c>
      <c r="O141" s="6">
        <v>140.30000000000001</v>
      </c>
      <c r="P141" s="6">
        <v>135.19999999999999</v>
      </c>
      <c r="Q141" s="6">
        <v>144.30000000000001</v>
      </c>
      <c r="R141" s="6">
        <v>129.6</v>
      </c>
      <c r="S141" s="6">
        <v>122.1</v>
      </c>
      <c r="T141" s="6">
        <v>128.5</v>
      </c>
      <c r="U141" s="6">
        <v>129.1</v>
      </c>
      <c r="V141" s="6">
        <v>116.2</v>
      </c>
      <c r="W141" s="6">
        <v>124.7</v>
      </c>
      <c r="X141" s="6">
        <v>122.1</v>
      </c>
      <c r="Y141" s="6">
        <v>113.4</v>
      </c>
      <c r="Z141" s="6">
        <v>121.7</v>
      </c>
      <c r="AA141" s="6">
        <v>132.1</v>
      </c>
      <c r="AB141" s="6">
        <v>121.3</v>
      </c>
      <c r="AC141" s="6">
        <v>121.3</v>
      </c>
      <c r="AD141" s="6">
        <v>128.5</v>
      </c>
    </row>
    <row r="142" spans="1:30" x14ac:dyDescent="0.3">
      <c r="A142" s="5" t="s">
        <v>34</v>
      </c>
      <c r="B142" s="5">
        <v>2016</v>
      </c>
      <c r="C142" s="5" t="s">
        <v>45</v>
      </c>
      <c r="D142" s="5">
        <v>131.4</v>
      </c>
      <c r="E142" s="5">
        <v>137.80000000000001</v>
      </c>
      <c r="F142" s="5">
        <v>132</v>
      </c>
      <c r="G142" s="5">
        <v>135</v>
      </c>
      <c r="H142" s="5">
        <v>118</v>
      </c>
      <c r="I142" s="5">
        <v>134.1</v>
      </c>
      <c r="J142" s="5">
        <v>141.9</v>
      </c>
      <c r="K142" s="5">
        <v>171.7</v>
      </c>
      <c r="L142" s="5">
        <v>114.1</v>
      </c>
      <c r="M142" s="5">
        <v>139.69999999999999</v>
      </c>
      <c r="N142" s="5">
        <v>126.2</v>
      </c>
      <c r="O142" s="5">
        <v>141.80000000000001</v>
      </c>
      <c r="P142" s="5">
        <v>136.1</v>
      </c>
      <c r="Q142" s="5">
        <v>142</v>
      </c>
      <c r="R142" s="5">
        <v>135.80000000000001</v>
      </c>
      <c r="S142" s="5">
        <v>129.30000000000001</v>
      </c>
      <c r="T142" s="5">
        <v>135</v>
      </c>
      <c r="U142" s="5">
        <v>129.1</v>
      </c>
      <c r="V142" s="5">
        <v>125</v>
      </c>
      <c r="W142" s="5">
        <v>128.6</v>
      </c>
      <c r="X142" s="5">
        <v>126.4</v>
      </c>
      <c r="Y142" s="5">
        <v>115.7</v>
      </c>
      <c r="Z142" s="5">
        <v>124</v>
      </c>
      <c r="AA142" s="5">
        <v>132.80000000000001</v>
      </c>
      <c r="AB142" s="5">
        <v>122.6</v>
      </c>
      <c r="AC142" s="5">
        <v>123.8</v>
      </c>
      <c r="AD142" s="5">
        <v>131.19999999999999</v>
      </c>
    </row>
    <row r="143" spans="1:30" x14ac:dyDescent="0.3">
      <c r="A143" s="6" t="s">
        <v>30</v>
      </c>
      <c r="B143" s="6">
        <v>2016</v>
      </c>
      <c r="C143" s="6" t="s">
        <v>46</v>
      </c>
      <c r="D143" s="6">
        <v>132.6</v>
      </c>
      <c r="E143" s="6">
        <v>137.30000000000001</v>
      </c>
      <c r="F143" s="6">
        <v>131.6</v>
      </c>
      <c r="G143" s="6">
        <v>136.30000000000001</v>
      </c>
      <c r="H143" s="6">
        <v>121.6</v>
      </c>
      <c r="I143" s="6">
        <v>135.6</v>
      </c>
      <c r="J143" s="6">
        <v>127.5</v>
      </c>
      <c r="K143" s="6">
        <v>167.9</v>
      </c>
      <c r="L143" s="6">
        <v>113.8</v>
      </c>
      <c r="M143" s="6">
        <v>137.5</v>
      </c>
      <c r="N143" s="6">
        <v>129.1</v>
      </c>
      <c r="O143" s="6">
        <v>143.6</v>
      </c>
      <c r="P143" s="6">
        <v>134.69999999999999</v>
      </c>
      <c r="Q143" s="6">
        <v>142.4</v>
      </c>
      <c r="R143" s="6">
        <v>140.4</v>
      </c>
      <c r="S143" s="6">
        <v>135.19999999999999</v>
      </c>
      <c r="T143" s="6">
        <v>139.69999999999999</v>
      </c>
      <c r="U143" s="6" t="s">
        <v>32</v>
      </c>
      <c r="V143" s="6">
        <v>132</v>
      </c>
      <c r="W143" s="6">
        <v>132.9</v>
      </c>
      <c r="X143" s="6">
        <v>129.69999999999999</v>
      </c>
      <c r="Y143" s="6">
        <v>118.6</v>
      </c>
      <c r="Z143" s="6">
        <v>127.3</v>
      </c>
      <c r="AA143" s="6">
        <v>134.19999999999999</v>
      </c>
      <c r="AB143" s="6">
        <v>121.9</v>
      </c>
      <c r="AC143" s="6">
        <v>126.3</v>
      </c>
      <c r="AD143" s="6">
        <v>132.80000000000001</v>
      </c>
    </row>
    <row r="144" spans="1:30" x14ac:dyDescent="0.3">
      <c r="A144" s="5" t="s">
        <v>33</v>
      </c>
      <c r="B144" s="5">
        <v>2016</v>
      </c>
      <c r="C144" s="5" t="s">
        <v>46</v>
      </c>
      <c r="D144" s="5">
        <v>131.6</v>
      </c>
      <c r="E144" s="5">
        <v>138.19999999999999</v>
      </c>
      <c r="F144" s="5">
        <v>134.9</v>
      </c>
      <c r="G144" s="5">
        <v>133.1</v>
      </c>
      <c r="H144" s="5">
        <v>113.5</v>
      </c>
      <c r="I144" s="5">
        <v>129.30000000000001</v>
      </c>
      <c r="J144" s="5">
        <v>121.1</v>
      </c>
      <c r="K144" s="5">
        <v>170.3</v>
      </c>
      <c r="L144" s="5">
        <v>115.5</v>
      </c>
      <c r="M144" s="5">
        <v>145.5</v>
      </c>
      <c r="N144" s="5">
        <v>123.1</v>
      </c>
      <c r="O144" s="5">
        <v>140.9</v>
      </c>
      <c r="P144" s="5">
        <v>132.80000000000001</v>
      </c>
      <c r="Q144" s="5">
        <v>145</v>
      </c>
      <c r="R144" s="5">
        <v>130</v>
      </c>
      <c r="S144" s="5">
        <v>122.2</v>
      </c>
      <c r="T144" s="5">
        <v>128.80000000000001</v>
      </c>
      <c r="U144" s="5">
        <v>128.5</v>
      </c>
      <c r="V144" s="5">
        <v>117.8</v>
      </c>
      <c r="W144" s="5">
        <v>125</v>
      </c>
      <c r="X144" s="5">
        <v>122.3</v>
      </c>
      <c r="Y144" s="5">
        <v>113.7</v>
      </c>
      <c r="Z144" s="5">
        <v>121.8</v>
      </c>
      <c r="AA144" s="5">
        <v>132.30000000000001</v>
      </c>
      <c r="AB144" s="5">
        <v>119.9</v>
      </c>
      <c r="AC144" s="5">
        <v>121.4</v>
      </c>
      <c r="AD144" s="5">
        <v>127.6</v>
      </c>
    </row>
    <row r="145" spans="1:30" x14ac:dyDescent="0.3">
      <c r="A145" s="6" t="s">
        <v>34</v>
      </c>
      <c r="B145" s="6">
        <v>2016</v>
      </c>
      <c r="C145" s="6" t="s">
        <v>46</v>
      </c>
      <c r="D145" s="6">
        <v>132.30000000000001</v>
      </c>
      <c r="E145" s="6">
        <v>137.6</v>
      </c>
      <c r="F145" s="6">
        <v>132.9</v>
      </c>
      <c r="G145" s="6">
        <v>135.1</v>
      </c>
      <c r="H145" s="6">
        <v>118.6</v>
      </c>
      <c r="I145" s="6">
        <v>132.69999999999999</v>
      </c>
      <c r="J145" s="6">
        <v>125.3</v>
      </c>
      <c r="K145" s="6">
        <v>168.7</v>
      </c>
      <c r="L145" s="6">
        <v>114.4</v>
      </c>
      <c r="M145" s="6">
        <v>140.19999999999999</v>
      </c>
      <c r="N145" s="6">
        <v>126.6</v>
      </c>
      <c r="O145" s="6">
        <v>142.30000000000001</v>
      </c>
      <c r="P145" s="6">
        <v>134</v>
      </c>
      <c r="Q145" s="6">
        <v>143.1</v>
      </c>
      <c r="R145" s="6">
        <v>136.30000000000001</v>
      </c>
      <c r="S145" s="6">
        <v>129.80000000000001</v>
      </c>
      <c r="T145" s="6">
        <v>135.4</v>
      </c>
      <c r="U145" s="6">
        <v>128.5</v>
      </c>
      <c r="V145" s="6">
        <v>126.6</v>
      </c>
      <c r="W145" s="6">
        <v>129.19999999999999</v>
      </c>
      <c r="X145" s="6">
        <v>126.9</v>
      </c>
      <c r="Y145" s="6">
        <v>116</v>
      </c>
      <c r="Z145" s="6">
        <v>124.2</v>
      </c>
      <c r="AA145" s="6">
        <v>133.1</v>
      </c>
      <c r="AB145" s="6">
        <v>121.1</v>
      </c>
      <c r="AC145" s="6">
        <v>123.9</v>
      </c>
      <c r="AD145" s="6">
        <v>130.4</v>
      </c>
    </row>
    <row r="146" spans="1:30" x14ac:dyDescent="0.3">
      <c r="A146" s="5" t="s">
        <v>30</v>
      </c>
      <c r="B146" s="5">
        <v>2017</v>
      </c>
      <c r="C146" s="5" t="s">
        <v>31</v>
      </c>
      <c r="D146" s="5">
        <v>133.1</v>
      </c>
      <c r="E146" s="5">
        <v>137.80000000000001</v>
      </c>
      <c r="F146" s="5">
        <v>131.9</v>
      </c>
      <c r="G146" s="5">
        <v>136.69999999999999</v>
      </c>
      <c r="H146" s="5">
        <v>122</v>
      </c>
      <c r="I146" s="5">
        <v>136</v>
      </c>
      <c r="J146" s="5">
        <v>119.8</v>
      </c>
      <c r="K146" s="5">
        <v>161.69999999999999</v>
      </c>
      <c r="L146" s="5">
        <v>114.8</v>
      </c>
      <c r="M146" s="5">
        <v>136.9</v>
      </c>
      <c r="N146" s="5">
        <v>129</v>
      </c>
      <c r="O146" s="5">
        <v>143.9</v>
      </c>
      <c r="P146" s="5">
        <v>133.69999999999999</v>
      </c>
      <c r="Q146" s="5">
        <v>143.1</v>
      </c>
      <c r="R146" s="5">
        <v>140.69999999999999</v>
      </c>
      <c r="S146" s="5">
        <v>135.80000000000001</v>
      </c>
      <c r="T146" s="5">
        <v>140</v>
      </c>
      <c r="U146" s="5" t="s">
        <v>32</v>
      </c>
      <c r="V146" s="5">
        <v>132.1</v>
      </c>
      <c r="W146" s="5">
        <v>133.19999999999999</v>
      </c>
      <c r="X146" s="5">
        <v>129.9</v>
      </c>
      <c r="Y146" s="5">
        <v>119.1</v>
      </c>
      <c r="Z146" s="5">
        <v>127</v>
      </c>
      <c r="AA146" s="5">
        <v>134.6</v>
      </c>
      <c r="AB146" s="5">
        <v>122.3</v>
      </c>
      <c r="AC146" s="5">
        <v>126.6</v>
      </c>
      <c r="AD146" s="5">
        <v>132.4</v>
      </c>
    </row>
    <row r="147" spans="1:30" x14ac:dyDescent="0.3">
      <c r="A147" s="6" t="s">
        <v>33</v>
      </c>
      <c r="B147" s="6">
        <v>2017</v>
      </c>
      <c r="C147" s="6" t="s">
        <v>31</v>
      </c>
      <c r="D147" s="6">
        <v>132.19999999999999</v>
      </c>
      <c r="E147" s="6">
        <v>138.9</v>
      </c>
      <c r="F147" s="6">
        <v>132.6</v>
      </c>
      <c r="G147" s="6">
        <v>133.1</v>
      </c>
      <c r="H147" s="6">
        <v>114</v>
      </c>
      <c r="I147" s="6">
        <v>129.6</v>
      </c>
      <c r="J147" s="6">
        <v>118.7</v>
      </c>
      <c r="K147" s="6">
        <v>155.1</v>
      </c>
      <c r="L147" s="6">
        <v>117.3</v>
      </c>
      <c r="M147" s="6">
        <v>144.9</v>
      </c>
      <c r="N147" s="6">
        <v>123.2</v>
      </c>
      <c r="O147" s="6">
        <v>141.6</v>
      </c>
      <c r="P147" s="6">
        <v>132</v>
      </c>
      <c r="Q147" s="6">
        <v>145.6</v>
      </c>
      <c r="R147" s="6">
        <v>130.19999999999999</v>
      </c>
      <c r="S147" s="6">
        <v>122.3</v>
      </c>
      <c r="T147" s="6">
        <v>129</v>
      </c>
      <c r="U147" s="6">
        <v>129.6</v>
      </c>
      <c r="V147" s="6">
        <v>118</v>
      </c>
      <c r="W147" s="6">
        <v>125.1</v>
      </c>
      <c r="X147" s="6">
        <v>122.6</v>
      </c>
      <c r="Y147" s="6">
        <v>115.2</v>
      </c>
      <c r="Z147" s="6">
        <v>122</v>
      </c>
      <c r="AA147" s="6">
        <v>132.4</v>
      </c>
      <c r="AB147" s="6">
        <v>120.9</v>
      </c>
      <c r="AC147" s="6">
        <v>122.1</v>
      </c>
      <c r="AD147" s="6">
        <v>127.8</v>
      </c>
    </row>
    <row r="148" spans="1:30" x14ac:dyDescent="0.3">
      <c r="A148" s="5" t="s">
        <v>34</v>
      </c>
      <c r="B148" s="5">
        <v>2017</v>
      </c>
      <c r="C148" s="5" t="s">
        <v>31</v>
      </c>
      <c r="D148" s="5">
        <v>132.80000000000001</v>
      </c>
      <c r="E148" s="5">
        <v>138.19999999999999</v>
      </c>
      <c r="F148" s="5">
        <v>132.19999999999999</v>
      </c>
      <c r="G148" s="5">
        <v>135.4</v>
      </c>
      <c r="H148" s="5">
        <v>119.1</v>
      </c>
      <c r="I148" s="5">
        <v>133</v>
      </c>
      <c r="J148" s="5">
        <v>119.4</v>
      </c>
      <c r="K148" s="5">
        <v>159.5</v>
      </c>
      <c r="L148" s="5">
        <v>115.6</v>
      </c>
      <c r="M148" s="5">
        <v>139.6</v>
      </c>
      <c r="N148" s="5">
        <v>126.6</v>
      </c>
      <c r="O148" s="5">
        <v>142.80000000000001</v>
      </c>
      <c r="P148" s="5">
        <v>133.1</v>
      </c>
      <c r="Q148" s="5">
        <v>143.80000000000001</v>
      </c>
      <c r="R148" s="5">
        <v>136.6</v>
      </c>
      <c r="S148" s="5">
        <v>130.19999999999999</v>
      </c>
      <c r="T148" s="5">
        <v>135.6</v>
      </c>
      <c r="U148" s="5">
        <v>129.6</v>
      </c>
      <c r="V148" s="5">
        <v>126.8</v>
      </c>
      <c r="W148" s="5">
        <v>129.4</v>
      </c>
      <c r="X148" s="5">
        <v>127.1</v>
      </c>
      <c r="Y148" s="5">
        <v>117</v>
      </c>
      <c r="Z148" s="5">
        <v>124.2</v>
      </c>
      <c r="AA148" s="5">
        <v>133.30000000000001</v>
      </c>
      <c r="AB148" s="5">
        <v>121.7</v>
      </c>
      <c r="AC148" s="5">
        <v>124.4</v>
      </c>
      <c r="AD148" s="5">
        <v>130.30000000000001</v>
      </c>
    </row>
    <row r="149" spans="1:30" x14ac:dyDescent="0.3">
      <c r="A149" s="6" t="s">
        <v>30</v>
      </c>
      <c r="B149" s="6">
        <v>2017</v>
      </c>
      <c r="C149" s="6" t="s">
        <v>35</v>
      </c>
      <c r="D149" s="6">
        <v>133.30000000000001</v>
      </c>
      <c r="E149" s="6">
        <v>138.30000000000001</v>
      </c>
      <c r="F149" s="6">
        <v>129.30000000000001</v>
      </c>
      <c r="G149" s="6">
        <v>137.19999999999999</v>
      </c>
      <c r="H149" s="6">
        <v>122.1</v>
      </c>
      <c r="I149" s="6">
        <v>138.69999999999999</v>
      </c>
      <c r="J149" s="6">
        <v>119.1</v>
      </c>
      <c r="K149" s="6">
        <v>156.9</v>
      </c>
      <c r="L149" s="6">
        <v>116.2</v>
      </c>
      <c r="M149" s="6">
        <v>136</v>
      </c>
      <c r="N149" s="6">
        <v>129.4</v>
      </c>
      <c r="O149" s="6">
        <v>144.4</v>
      </c>
      <c r="P149" s="6">
        <v>133.6</v>
      </c>
      <c r="Q149" s="6">
        <v>143.69999999999999</v>
      </c>
      <c r="R149" s="6">
        <v>140.9</v>
      </c>
      <c r="S149" s="6">
        <v>135.80000000000001</v>
      </c>
      <c r="T149" s="6">
        <v>140.19999999999999</v>
      </c>
      <c r="U149" s="6" t="s">
        <v>32</v>
      </c>
      <c r="V149" s="6">
        <v>133.19999999999999</v>
      </c>
      <c r="W149" s="6">
        <v>133.6</v>
      </c>
      <c r="X149" s="6">
        <v>130.1</v>
      </c>
      <c r="Y149" s="6">
        <v>119.5</v>
      </c>
      <c r="Z149" s="6">
        <v>127.7</v>
      </c>
      <c r="AA149" s="6">
        <v>134.9</v>
      </c>
      <c r="AB149" s="6">
        <v>123.2</v>
      </c>
      <c r="AC149" s="6">
        <v>127</v>
      </c>
      <c r="AD149" s="6">
        <v>132.6</v>
      </c>
    </row>
    <row r="150" spans="1:30" x14ac:dyDescent="0.3">
      <c r="A150" s="5" t="s">
        <v>33</v>
      </c>
      <c r="B150" s="5">
        <v>2017</v>
      </c>
      <c r="C150" s="5" t="s">
        <v>35</v>
      </c>
      <c r="D150" s="5">
        <v>132.80000000000001</v>
      </c>
      <c r="E150" s="5">
        <v>139.80000000000001</v>
      </c>
      <c r="F150" s="5">
        <v>129.30000000000001</v>
      </c>
      <c r="G150" s="5">
        <v>133.5</v>
      </c>
      <c r="H150" s="5">
        <v>114.3</v>
      </c>
      <c r="I150" s="5">
        <v>131.4</v>
      </c>
      <c r="J150" s="5">
        <v>120.2</v>
      </c>
      <c r="K150" s="5">
        <v>143.1</v>
      </c>
      <c r="L150" s="5">
        <v>119.5</v>
      </c>
      <c r="M150" s="5">
        <v>144</v>
      </c>
      <c r="N150" s="5">
        <v>123.4</v>
      </c>
      <c r="O150" s="5">
        <v>141.9</v>
      </c>
      <c r="P150" s="5">
        <v>132.1</v>
      </c>
      <c r="Q150" s="5">
        <v>146.30000000000001</v>
      </c>
      <c r="R150" s="5">
        <v>130.5</v>
      </c>
      <c r="S150" s="5">
        <v>122.5</v>
      </c>
      <c r="T150" s="5">
        <v>129.30000000000001</v>
      </c>
      <c r="U150" s="5">
        <v>130.5</v>
      </c>
      <c r="V150" s="5">
        <v>119.2</v>
      </c>
      <c r="W150" s="5">
        <v>125.3</v>
      </c>
      <c r="X150" s="5">
        <v>122.9</v>
      </c>
      <c r="Y150" s="5">
        <v>115.5</v>
      </c>
      <c r="Z150" s="5">
        <v>122.2</v>
      </c>
      <c r="AA150" s="5">
        <v>132.4</v>
      </c>
      <c r="AB150" s="5">
        <v>121.7</v>
      </c>
      <c r="AC150" s="5">
        <v>122.4</v>
      </c>
      <c r="AD150" s="5">
        <v>128.19999999999999</v>
      </c>
    </row>
    <row r="151" spans="1:30" x14ac:dyDescent="0.3">
      <c r="A151" s="6" t="s">
        <v>34</v>
      </c>
      <c r="B151" s="6">
        <v>2017</v>
      </c>
      <c r="C151" s="6" t="s">
        <v>35</v>
      </c>
      <c r="D151" s="6">
        <v>133.1</v>
      </c>
      <c r="E151" s="6">
        <v>138.80000000000001</v>
      </c>
      <c r="F151" s="6">
        <v>129.30000000000001</v>
      </c>
      <c r="G151" s="6">
        <v>135.80000000000001</v>
      </c>
      <c r="H151" s="6">
        <v>119.2</v>
      </c>
      <c r="I151" s="6">
        <v>135.30000000000001</v>
      </c>
      <c r="J151" s="6">
        <v>119.5</v>
      </c>
      <c r="K151" s="6">
        <v>152.19999999999999</v>
      </c>
      <c r="L151" s="6">
        <v>117.3</v>
      </c>
      <c r="M151" s="6">
        <v>138.69999999999999</v>
      </c>
      <c r="N151" s="6">
        <v>126.9</v>
      </c>
      <c r="O151" s="6">
        <v>143.19999999999999</v>
      </c>
      <c r="P151" s="6">
        <v>133</v>
      </c>
      <c r="Q151" s="6">
        <v>144.4</v>
      </c>
      <c r="R151" s="6">
        <v>136.80000000000001</v>
      </c>
      <c r="S151" s="6">
        <v>130.30000000000001</v>
      </c>
      <c r="T151" s="6">
        <v>135.9</v>
      </c>
      <c r="U151" s="6">
        <v>130.5</v>
      </c>
      <c r="V151" s="6">
        <v>127.9</v>
      </c>
      <c r="W151" s="6">
        <v>129.69999999999999</v>
      </c>
      <c r="X151" s="6">
        <v>127.4</v>
      </c>
      <c r="Y151" s="6">
        <v>117.4</v>
      </c>
      <c r="Z151" s="6">
        <v>124.6</v>
      </c>
      <c r="AA151" s="6">
        <v>133.4</v>
      </c>
      <c r="AB151" s="6">
        <v>122.6</v>
      </c>
      <c r="AC151" s="6">
        <v>124.8</v>
      </c>
      <c r="AD151" s="6">
        <v>130.6</v>
      </c>
    </row>
    <row r="152" spans="1:30" x14ac:dyDescent="0.3">
      <c r="A152" s="5" t="s">
        <v>30</v>
      </c>
      <c r="B152" s="5">
        <v>2017</v>
      </c>
      <c r="C152" s="5" t="s">
        <v>36</v>
      </c>
      <c r="D152" s="5">
        <v>133.6</v>
      </c>
      <c r="E152" s="5">
        <v>138.80000000000001</v>
      </c>
      <c r="F152" s="5">
        <v>128.80000000000001</v>
      </c>
      <c r="G152" s="5">
        <v>137.19999999999999</v>
      </c>
      <c r="H152" s="5">
        <v>121.6</v>
      </c>
      <c r="I152" s="5">
        <v>139.69999999999999</v>
      </c>
      <c r="J152" s="5">
        <v>119.7</v>
      </c>
      <c r="K152" s="5">
        <v>148</v>
      </c>
      <c r="L152" s="5">
        <v>116.9</v>
      </c>
      <c r="M152" s="5">
        <v>135.6</v>
      </c>
      <c r="N152" s="5">
        <v>129.80000000000001</v>
      </c>
      <c r="O152" s="5">
        <v>145.4</v>
      </c>
      <c r="P152" s="5">
        <v>133.4</v>
      </c>
      <c r="Q152" s="5">
        <v>144.19999999999999</v>
      </c>
      <c r="R152" s="5">
        <v>141.6</v>
      </c>
      <c r="S152" s="5">
        <v>136.19999999999999</v>
      </c>
      <c r="T152" s="5">
        <v>140.80000000000001</v>
      </c>
      <c r="U152" s="5" t="s">
        <v>32</v>
      </c>
      <c r="V152" s="5">
        <v>134.19999999999999</v>
      </c>
      <c r="W152" s="5">
        <v>134.1</v>
      </c>
      <c r="X152" s="5">
        <v>130.6</v>
      </c>
      <c r="Y152" s="5">
        <v>119.8</v>
      </c>
      <c r="Z152" s="5">
        <v>128.30000000000001</v>
      </c>
      <c r="AA152" s="5">
        <v>135.19999999999999</v>
      </c>
      <c r="AB152" s="5">
        <v>123.3</v>
      </c>
      <c r="AC152" s="5">
        <v>127.4</v>
      </c>
      <c r="AD152" s="5">
        <v>132.80000000000001</v>
      </c>
    </row>
    <row r="153" spans="1:30" x14ac:dyDescent="0.3">
      <c r="A153" s="6" t="s">
        <v>33</v>
      </c>
      <c r="B153" s="6">
        <v>2017</v>
      </c>
      <c r="C153" s="6" t="s">
        <v>36</v>
      </c>
      <c r="D153" s="6">
        <v>132.69999999999999</v>
      </c>
      <c r="E153" s="6">
        <v>139.4</v>
      </c>
      <c r="F153" s="6">
        <v>128.4</v>
      </c>
      <c r="G153" s="6">
        <v>134.9</v>
      </c>
      <c r="H153" s="6">
        <v>114</v>
      </c>
      <c r="I153" s="6">
        <v>136.80000000000001</v>
      </c>
      <c r="J153" s="6">
        <v>122.2</v>
      </c>
      <c r="K153" s="6">
        <v>135.80000000000001</v>
      </c>
      <c r="L153" s="6">
        <v>120.3</v>
      </c>
      <c r="M153" s="6">
        <v>142.6</v>
      </c>
      <c r="N153" s="6">
        <v>123.6</v>
      </c>
      <c r="O153" s="6">
        <v>142.4</v>
      </c>
      <c r="P153" s="6">
        <v>132.6</v>
      </c>
      <c r="Q153" s="6">
        <v>147.5</v>
      </c>
      <c r="R153" s="6">
        <v>130.80000000000001</v>
      </c>
      <c r="S153" s="6">
        <v>122.8</v>
      </c>
      <c r="T153" s="6">
        <v>129.6</v>
      </c>
      <c r="U153" s="6">
        <v>131.1</v>
      </c>
      <c r="V153" s="6">
        <v>120.8</v>
      </c>
      <c r="W153" s="6">
        <v>125.6</v>
      </c>
      <c r="X153" s="6">
        <v>123.1</v>
      </c>
      <c r="Y153" s="6">
        <v>115.6</v>
      </c>
      <c r="Z153" s="6">
        <v>122.4</v>
      </c>
      <c r="AA153" s="6">
        <v>132.80000000000001</v>
      </c>
      <c r="AB153" s="6">
        <v>121.7</v>
      </c>
      <c r="AC153" s="6">
        <v>122.6</v>
      </c>
      <c r="AD153" s="6">
        <v>128.69999999999999</v>
      </c>
    </row>
    <row r="154" spans="1:30" x14ac:dyDescent="0.3">
      <c r="A154" s="5" t="s">
        <v>34</v>
      </c>
      <c r="B154" s="5">
        <v>2017</v>
      </c>
      <c r="C154" s="5" t="s">
        <v>36</v>
      </c>
      <c r="D154" s="5">
        <v>133.30000000000001</v>
      </c>
      <c r="E154" s="5">
        <v>139</v>
      </c>
      <c r="F154" s="5">
        <v>128.6</v>
      </c>
      <c r="G154" s="5">
        <v>136.30000000000001</v>
      </c>
      <c r="H154" s="5">
        <v>118.8</v>
      </c>
      <c r="I154" s="5">
        <v>138.30000000000001</v>
      </c>
      <c r="J154" s="5">
        <v>120.5</v>
      </c>
      <c r="K154" s="5">
        <v>143.9</v>
      </c>
      <c r="L154" s="5">
        <v>118</v>
      </c>
      <c r="M154" s="5">
        <v>137.9</v>
      </c>
      <c r="N154" s="5">
        <v>127.2</v>
      </c>
      <c r="O154" s="5">
        <v>144</v>
      </c>
      <c r="P154" s="5">
        <v>133.1</v>
      </c>
      <c r="Q154" s="5">
        <v>145.1</v>
      </c>
      <c r="R154" s="5">
        <v>137.30000000000001</v>
      </c>
      <c r="S154" s="5">
        <v>130.6</v>
      </c>
      <c r="T154" s="5">
        <v>136.4</v>
      </c>
      <c r="U154" s="5">
        <v>131.1</v>
      </c>
      <c r="V154" s="5">
        <v>129.1</v>
      </c>
      <c r="W154" s="5">
        <v>130.1</v>
      </c>
      <c r="X154" s="5">
        <v>127.8</v>
      </c>
      <c r="Y154" s="5">
        <v>117.6</v>
      </c>
      <c r="Z154" s="5">
        <v>125</v>
      </c>
      <c r="AA154" s="5">
        <v>133.80000000000001</v>
      </c>
      <c r="AB154" s="5">
        <v>122.6</v>
      </c>
      <c r="AC154" s="5">
        <v>125.1</v>
      </c>
      <c r="AD154" s="5">
        <v>130.9</v>
      </c>
    </row>
    <row r="155" spans="1:30" x14ac:dyDescent="0.3">
      <c r="A155" s="6" t="s">
        <v>30</v>
      </c>
      <c r="B155" s="6">
        <v>2017</v>
      </c>
      <c r="C155" s="6" t="s">
        <v>37</v>
      </c>
      <c r="D155" s="6">
        <v>133.19999999999999</v>
      </c>
      <c r="E155" s="6">
        <v>138.69999999999999</v>
      </c>
      <c r="F155" s="6">
        <v>127.1</v>
      </c>
      <c r="G155" s="6">
        <v>137.69999999999999</v>
      </c>
      <c r="H155" s="6">
        <v>121.3</v>
      </c>
      <c r="I155" s="6">
        <v>141.80000000000001</v>
      </c>
      <c r="J155" s="6">
        <v>121.5</v>
      </c>
      <c r="K155" s="6">
        <v>144.5</v>
      </c>
      <c r="L155" s="6">
        <v>117.4</v>
      </c>
      <c r="M155" s="6">
        <v>134.1</v>
      </c>
      <c r="N155" s="6">
        <v>130</v>
      </c>
      <c r="O155" s="6">
        <v>145.5</v>
      </c>
      <c r="P155" s="6">
        <v>133.5</v>
      </c>
      <c r="Q155" s="6">
        <v>144.4</v>
      </c>
      <c r="R155" s="6">
        <v>142.4</v>
      </c>
      <c r="S155" s="6">
        <v>136.80000000000001</v>
      </c>
      <c r="T155" s="6">
        <v>141.6</v>
      </c>
      <c r="U155" s="6" t="s">
        <v>32</v>
      </c>
      <c r="V155" s="6">
        <v>135</v>
      </c>
      <c r="W155" s="6">
        <v>134.30000000000001</v>
      </c>
      <c r="X155" s="6">
        <v>131</v>
      </c>
      <c r="Y155" s="6">
        <v>119.2</v>
      </c>
      <c r="Z155" s="6">
        <v>128.30000000000001</v>
      </c>
      <c r="AA155" s="6">
        <v>135.69999999999999</v>
      </c>
      <c r="AB155" s="6">
        <v>123.7</v>
      </c>
      <c r="AC155" s="6">
        <v>127.5</v>
      </c>
      <c r="AD155" s="6">
        <v>132.9</v>
      </c>
    </row>
    <row r="156" spans="1:30" x14ac:dyDescent="0.3">
      <c r="A156" s="5" t="s">
        <v>33</v>
      </c>
      <c r="B156" s="5">
        <v>2017</v>
      </c>
      <c r="C156" s="5" t="s">
        <v>37</v>
      </c>
      <c r="D156" s="5">
        <v>132.69999999999999</v>
      </c>
      <c r="E156" s="5">
        <v>140.6</v>
      </c>
      <c r="F156" s="5">
        <v>124.5</v>
      </c>
      <c r="G156" s="5">
        <v>136.30000000000001</v>
      </c>
      <c r="H156" s="5">
        <v>113.5</v>
      </c>
      <c r="I156" s="5">
        <v>137.69999999999999</v>
      </c>
      <c r="J156" s="5">
        <v>127.1</v>
      </c>
      <c r="K156" s="5">
        <v>133.80000000000001</v>
      </c>
      <c r="L156" s="5">
        <v>120.8</v>
      </c>
      <c r="M156" s="5">
        <v>141.30000000000001</v>
      </c>
      <c r="N156" s="5">
        <v>123.8</v>
      </c>
      <c r="O156" s="5">
        <v>142.6</v>
      </c>
      <c r="P156" s="5">
        <v>133.4</v>
      </c>
      <c r="Q156" s="5">
        <v>148</v>
      </c>
      <c r="R156" s="5">
        <v>131.19999999999999</v>
      </c>
      <c r="S156" s="5">
        <v>123</v>
      </c>
      <c r="T156" s="5">
        <v>130</v>
      </c>
      <c r="U156" s="5">
        <v>131.69999999999999</v>
      </c>
      <c r="V156" s="5">
        <v>121.4</v>
      </c>
      <c r="W156" s="5">
        <v>126</v>
      </c>
      <c r="X156" s="5">
        <v>123.4</v>
      </c>
      <c r="Y156" s="5">
        <v>114.3</v>
      </c>
      <c r="Z156" s="5">
        <v>122.6</v>
      </c>
      <c r="AA156" s="5">
        <v>133.6</v>
      </c>
      <c r="AB156" s="5">
        <v>122.2</v>
      </c>
      <c r="AC156" s="5">
        <v>122.5</v>
      </c>
      <c r="AD156" s="5">
        <v>129.1</v>
      </c>
    </row>
    <row r="157" spans="1:30" x14ac:dyDescent="0.3">
      <c r="A157" s="6" t="s">
        <v>34</v>
      </c>
      <c r="B157" s="6">
        <v>2017</v>
      </c>
      <c r="C157" s="6" t="s">
        <v>37</v>
      </c>
      <c r="D157" s="6">
        <v>133</v>
      </c>
      <c r="E157" s="6">
        <v>139.4</v>
      </c>
      <c r="F157" s="6">
        <v>126.1</v>
      </c>
      <c r="G157" s="6">
        <v>137.19999999999999</v>
      </c>
      <c r="H157" s="6">
        <v>118.4</v>
      </c>
      <c r="I157" s="6">
        <v>139.9</v>
      </c>
      <c r="J157" s="6">
        <v>123.4</v>
      </c>
      <c r="K157" s="6">
        <v>140.9</v>
      </c>
      <c r="L157" s="6">
        <v>118.5</v>
      </c>
      <c r="M157" s="6">
        <v>136.5</v>
      </c>
      <c r="N157" s="6">
        <v>127.4</v>
      </c>
      <c r="O157" s="6">
        <v>144.19999999999999</v>
      </c>
      <c r="P157" s="6">
        <v>133.5</v>
      </c>
      <c r="Q157" s="6">
        <v>145.4</v>
      </c>
      <c r="R157" s="6">
        <v>138</v>
      </c>
      <c r="S157" s="6">
        <v>131.1</v>
      </c>
      <c r="T157" s="6">
        <v>137</v>
      </c>
      <c r="U157" s="6">
        <v>131.69999999999999</v>
      </c>
      <c r="V157" s="6">
        <v>129.80000000000001</v>
      </c>
      <c r="W157" s="6">
        <v>130.4</v>
      </c>
      <c r="X157" s="6">
        <v>128.1</v>
      </c>
      <c r="Y157" s="6">
        <v>116.6</v>
      </c>
      <c r="Z157" s="6">
        <v>125.1</v>
      </c>
      <c r="AA157" s="6">
        <v>134.5</v>
      </c>
      <c r="AB157" s="6">
        <v>123.1</v>
      </c>
      <c r="AC157" s="6">
        <v>125.1</v>
      </c>
      <c r="AD157" s="6">
        <v>131.1</v>
      </c>
    </row>
    <row r="158" spans="1:30" x14ac:dyDescent="0.3">
      <c r="A158" s="5" t="s">
        <v>30</v>
      </c>
      <c r="B158" s="5">
        <v>2017</v>
      </c>
      <c r="C158" s="5" t="s">
        <v>38</v>
      </c>
      <c r="D158" s="5">
        <v>133.1</v>
      </c>
      <c r="E158" s="5">
        <v>140.30000000000001</v>
      </c>
      <c r="F158" s="5">
        <v>126.8</v>
      </c>
      <c r="G158" s="5">
        <v>138.19999999999999</v>
      </c>
      <c r="H158" s="5">
        <v>120.8</v>
      </c>
      <c r="I158" s="5">
        <v>140.19999999999999</v>
      </c>
      <c r="J158" s="5">
        <v>123.8</v>
      </c>
      <c r="K158" s="5">
        <v>141.80000000000001</v>
      </c>
      <c r="L158" s="5">
        <v>118.6</v>
      </c>
      <c r="M158" s="5">
        <v>134</v>
      </c>
      <c r="N158" s="5">
        <v>130.30000000000001</v>
      </c>
      <c r="O158" s="5">
        <v>145.80000000000001</v>
      </c>
      <c r="P158" s="5">
        <v>133.80000000000001</v>
      </c>
      <c r="Q158" s="5">
        <v>145.5</v>
      </c>
      <c r="R158" s="5">
        <v>142.5</v>
      </c>
      <c r="S158" s="5">
        <v>137.30000000000001</v>
      </c>
      <c r="T158" s="5">
        <v>141.80000000000001</v>
      </c>
      <c r="U158" s="5" t="s">
        <v>32</v>
      </c>
      <c r="V158" s="5">
        <v>135</v>
      </c>
      <c r="W158" s="5">
        <v>134.9</v>
      </c>
      <c r="X158" s="5">
        <v>131.4</v>
      </c>
      <c r="Y158" s="5">
        <v>119.4</v>
      </c>
      <c r="Z158" s="5">
        <v>129.4</v>
      </c>
      <c r="AA158" s="5">
        <v>136.30000000000001</v>
      </c>
      <c r="AB158" s="5">
        <v>123.7</v>
      </c>
      <c r="AC158" s="5">
        <v>127.9</v>
      </c>
      <c r="AD158" s="5">
        <v>133.30000000000001</v>
      </c>
    </row>
    <row r="159" spans="1:30" x14ac:dyDescent="0.3">
      <c r="A159" s="6" t="s">
        <v>33</v>
      </c>
      <c r="B159" s="6">
        <v>2017</v>
      </c>
      <c r="C159" s="6" t="s">
        <v>38</v>
      </c>
      <c r="D159" s="6">
        <v>132.6</v>
      </c>
      <c r="E159" s="6">
        <v>144.1</v>
      </c>
      <c r="F159" s="6">
        <v>125.6</v>
      </c>
      <c r="G159" s="6">
        <v>136.80000000000001</v>
      </c>
      <c r="H159" s="6">
        <v>113.4</v>
      </c>
      <c r="I159" s="6">
        <v>135.19999999999999</v>
      </c>
      <c r="J159" s="6">
        <v>129.19999999999999</v>
      </c>
      <c r="K159" s="6">
        <v>131.5</v>
      </c>
      <c r="L159" s="6">
        <v>121</v>
      </c>
      <c r="M159" s="6">
        <v>139.9</v>
      </c>
      <c r="N159" s="6">
        <v>123.8</v>
      </c>
      <c r="O159" s="6">
        <v>142.9</v>
      </c>
      <c r="P159" s="6">
        <v>133.6</v>
      </c>
      <c r="Q159" s="6">
        <v>148.30000000000001</v>
      </c>
      <c r="R159" s="6">
        <v>131.5</v>
      </c>
      <c r="S159" s="6">
        <v>123.2</v>
      </c>
      <c r="T159" s="6">
        <v>130.19999999999999</v>
      </c>
      <c r="U159" s="6">
        <v>132.1</v>
      </c>
      <c r="V159" s="6">
        <v>120.1</v>
      </c>
      <c r="W159" s="6">
        <v>126.5</v>
      </c>
      <c r="X159" s="6">
        <v>123.6</v>
      </c>
      <c r="Y159" s="6">
        <v>114.3</v>
      </c>
      <c r="Z159" s="6">
        <v>122.8</v>
      </c>
      <c r="AA159" s="6">
        <v>133.80000000000001</v>
      </c>
      <c r="AB159" s="6">
        <v>122</v>
      </c>
      <c r="AC159" s="6">
        <v>122.6</v>
      </c>
      <c r="AD159" s="6">
        <v>129.30000000000001</v>
      </c>
    </row>
    <row r="160" spans="1:30" x14ac:dyDescent="0.3">
      <c r="A160" s="5" t="s">
        <v>34</v>
      </c>
      <c r="B160" s="5">
        <v>2017</v>
      </c>
      <c r="C160" s="5" t="s">
        <v>38</v>
      </c>
      <c r="D160" s="5">
        <v>132.9</v>
      </c>
      <c r="E160" s="5">
        <v>141.6</v>
      </c>
      <c r="F160" s="5">
        <v>126.3</v>
      </c>
      <c r="G160" s="5">
        <v>137.69999999999999</v>
      </c>
      <c r="H160" s="5">
        <v>118.1</v>
      </c>
      <c r="I160" s="5">
        <v>137.9</v>
      </c>
      <c r="J160" s="5">
        <v>125.6</v>
      </c>
      <c r="K160" s="5">
        <v>138.30000000000001</v>
      </c>
      <c r="L160" s="5">
        <v>119.4</v>
      </c>
      <c r="M160" s="5">
        <v>136</v>
      </c>
      <c r="N160" s="5">
        <v>127.6</v>
      </c>
      <c r="O160" s="5">
        <v>144.5</v>
      </c>
      <c r="P160" s="5">
        <v>133.69999999999999</v>
      </c>
      <c r="Q160" s="5">
        <v>146.19999999999999</v>
      </c>
      <c r="R160" s="5">
        <v>138.19999999999999</v>
      </c>
      <c r="S160" s="5">
        <v>131.4</v>
      </c>
      <c r="T160" s="5">
        <v>137.19999999999999</v>
      </c>
      <c r="U160" s="5">
        <v>132.1</v>
      </c>
      <c r="V160" s="5">
        <v>129.4</v>
      </c>
      <c r="W160" s="5">
        <v>130.9</v>
      </c>
      <c r="X160" s="5">
        <v>128.4</v>
      </c>
      <c r="Y160" s="5">
        <v>116.7</v>
      </c>
      <c r="Z160" s="5">
        <v>125.7</v>
      </c>
      <c r="AA160" s="5">
        <v>134.80000000000001</v>
      </c>
      <c r="AB160" s="5">
        <v>123</v>
      </c>
      <c r="AC160" s="5">
        <v>125.3</v>
      </c>
      <c r="AD160" s="5">
        <v>131.4</v>
      </c>
    </row>
    <row r="161" spans="1:30" x14ac:dyDescent="0.3">
      <c r="A161" s="6" t="s">
        <v>30</v>
      </c>
      <c r="B161" s="6">
        <v>2017</v>
      </c>
      <c r="C161" s="6" t="s">
        <v>39</v>
      </c>
      <c r="D161" s="6">
        <v>133.5</v>
      </c>
      <c r="E161" s="6">
        <v>143.69999999999999</v>
      </c>
      <c r="F161" s="6">
        <v>128</v>
      </c>
      <c r="G161" s="6">
        <v>138.6</v>
      </c>
      <c r="H161" s="6">
        <v>120.9</v>
      </c>
      <c r="I161" s="6">
        <v>140.9</v>
      </c>
      <c r="J161" s="6">
        <v>128.80000000000001</v>
      </c>
      <c r="K161" s="6">
        <v>140.19999999999999</v>
      </c>
      <c r="L161" s="6">
        <v>118.9</v>
      </c>
      <c r="M161" s="6">
        <v>133.5</v>
      </c>
      <c r="N161" s="6">
        <v>130.4</v>
      </c>
      <c r="O161" s="6">
        <v>146.5</v>
      </c>
      <c r="P161" s="6">
        <v>134.9</v>
      </c>
      <c r="Q161" s="6">
        <v>145.80000000000001</v>
      </c>
      <c r="R161" s="6">
        <v>143.1</v>
      </c>
      <c r="S161" s="6">
        <v>137.69999999999999</v>
      </c>
      <c r="T161" s="6">
        <v>142.30000000000001</v>
      </c>
      <c r="U161" s="6" t="s">
        <v>32</v>
      </c>
      <c r="V161" s="6">
        <v>134.80000000000001</v>
      </c>
      <c r="W161" s="6">
        <v>135.19999999999999</v>
      </c>
      <c r="X161" s="6">
        <v>131.30000000000001</v>
      </c>
      <c r="Y161" s="6">
        <v>119.4</v>
      </c>
      <c r="Z161" s="6">
        <v>129.80000000000001</v>
      </c>
      <c r="AA161" s="6">
        <v>136.9</v>
      </c>
      <c r="AB161" s="6">
        <v>124.1</v>
      </c>
      <c r="AC161" s="6">
        <v>128.1</v>
      </c>
      <c r="AD161" s="6">
        <v>133.9</v>
      </c>
    </row>
    <row r="162" spans="1:30" x14ac:dyDescent="0.3">
      <c r="A162" s="5" t="s">
        <v>33</v>
      </c>
      <c r="B162" s="5">
        <v>2017</v>
      </c>
      <c r="C162" s="5" t="s">
        <v>39</v>
      </c>
      <c r="D162" s="5">
        <v>132.9</v>
      </c>
      <c r="E162" s="5">
        <v>148.69999999999999</v>
      </c>
      <c r="F162" s="5">
        <v>128.30000000000001</v>
      </c>
      <c r="G162" s="5">
        <v>137.30000000000001</v>
      </c>
      <c r="H162" s="5">
        <v>113.5</v>
      </c>
      <c r="I162" s="5">
        <v>137.19999999999999</v>
      </c>
      <c r="J162" s="5">
        <v>142.19999999999999</v>
      </c>
      <c r="K162" s="5">
        <v>128.19999999999999</v>
      </c>
      <c r="L162" s="5">
        <v>120.9</v>
      </c>
      <c r="M162" s="5">
        <v>138.80000000000001</v>
      </c>
      <c r="N162" s="5">
        <v>124.2</v>
      </c>
      <c r="O162" s="5">
        <v>143.1</v>
      </c>
      <c r="P162" s="5">
        <v>135.69999999999999</v>
      </c>
      <c r="Q162" s="5">
        <v>148.6</v>
      </c>
      <c r="R162" s="5">
        <v>131.5</v>
      </c>
      <c r="S162" s="5">
        <v>123.2</v>
      </c>
      <c r="T162" s="5">
        <v>130.19999999999999</v>
      </c>
      <c r="U162" s="5">
        <v>131.4</v>
      </c>
      <c r="V162" s="5">
        <v>119</v>
      </c>
      <c r="W162" s="5">
        <v>126.8</v>
      </c>
      <c r="X162" s="5">
        <v>123.8</v>
      </c>
      <c r="Y162" s="5">
        <v>113.9</v>
      </c>
      <c r="Z162" s="5">
        <v>122.9</v>
      </c>
      <c r="AA162" s="5">
        <v>134.30000000000001</v>
      </c>
      <c r="AB162" s="5">
        <v>122.5</v>
      </c>
      <c r="AC162" s="5">
        <v>122.7</v>
      </c>
      <c r="AD162" s="5">
        <v>129.9</v>
      </c>
    </row>
    <row r="163" spans="1:30" x14ac:dyDescent="0.3">
      <c r="A163" s="6" t="s">
        <v>34</v>
      </c>
      <c r="B163" s="6">
        <v>2017</v>
      </c>
      <c r="C163" s="6" t="s">
        <v>39</v>
      </c>
      <c r="D163" s="6">
        <v>133.30000000000001</v>
      </c>
      <c r="E163" s="6">
        <v>145.5</v>
      </c>
      <c r="F163" s="6">
        <v>128.1</v>
      </c>
      <c r="G163" s="6">
        <v>138.1</v>
      </c>
      <c r="H163" s="6">
        <v>118.2</v>
      </c>
      <c r="I163" s="6">
        <v>139.19999999999999</v>
      </c>
      <c r="J163" s="6">
        <v>133.30000000000001</v>
      </c>
      <c r="K163" s="6">
        <v>136.19999999999999</v>
      </c>
      <c r="L163" s="6">
        <v>119.6</v>
      </c>
      <c r="M163" s="6">
        <v>135.30000000000001</v>
      </c>
      <c r="N163" s="6">
        <v>127.8</v>
      </c>
      <c r="O163" s="6">
        <v>144.9</v>
      </c>
      <c r="P163" s="6">
        <v>135.19999999999999</v>
      </c>
      <c r="Q163" s="6">
        <v>146.5</v>
      </c>
      <c r="R163" s="6">
        <v>138.5</v>
      </c>
      <c r="S163" s="6">
        <v>131.69999999999999</v>
      </c>
      <c r="T163" s="6">
        <v>137.5</v>
      </c>
      <c r="U163" s="6">
        <v>131.4</v>
      </c>
      <c r="V163" s="6">
        <v>128.80000000000001</v>
      </c>
      <c r="W163" s="6">
        <v>131.19999999999999</v>
      </c>
      <c r="X163" s="6">
        <v>128.5</v>
      </c>
      <c r="Y163" s="6">
        <v>116.5</v>
      </c>
      <c r="Z163" s="6">
        <v>125.9</v>
      </c>
      <c r="AA163" s="6">
        <v>135.4</v>
      </c>
      <c r="AB163" s="6">
        <v>123.4</v>
      </c>
      <c r="AC163" s="6">
        <v>125.5</v>
      </c>
      <c r="AD163" s="6">
        <v>132</v>
      </c>
    </row>
    <row r="164" spans="1:30" x14ac:dyDescent="0.3">
      <c r="A164" s="5" t="s">
        <v>30</v>
      </c>
      <c r="B164" s="5">
        <v>2017</v>
      </c>
      <c r="C164" s="5" t="s">
        <v>40</v>
      </c>
      <c r="D164" s="5">
        <v>134</v>
      </c>
      <c r="E164" s="5">
        <v>144.19999999999999</v>
      </c>
      <c r="F164" s="5">
        <v>129.80000000000001</v>
      </c>
      <c r="G164" s="5">
        <v>139</v>
      </c>
      <c r="H164" s="5">
        <v>120.9</v>
      </c>
      <c r="I164" s="5">
        <v>143.9</v>
      </c>
      <c r="J164" s="5">
        <v>151.5</v>
      </c>
      <c r="K164" s="5">
        <v>138.1</v>
      </c>
      <c r="L164" s="5">
        <v>120</v>
      </c>
      <c r="M164" s="5">
        <v>133.9</v>
      </c>
      <c r="N164" s="5">
        <v>131.4</v>
      </c>
      <c r="O164" s="5">
        <v>147.69999999999999</v>
      </c>
      <c r="P164" s="5">
        <v>138.5</v>
      </c>
      <c r="Q164" s="5">
        <v>147.4</v>
      </c>
      <c r="R164" s="5">
        <v>144.30000000000001</v>
      </c>
      <c r="S164" s="5">
        <v>138.1</v>
      </c>
      <c r="T164" s="5">
        <v>143.5</v>
      </c>
      <c r="U164" s="5" t="s">
        <v>32</v>
      </c>
      <c r="V164" s="5">
        <v>135.30000000000001</v>
      </c>
      <c r="W164" s="5">
        <v>136.1</v>
      </c>
      <c r="X164" s="5">
        <v>132.1</v>
      </c>
      <c r="Y164" s="5">
        <v>119.1</v>
      </c>
      <c r="Z164" s="5">
        <v>130.6</v>
      </c>
      <c r="AA164" s="5">
        <v>138.6</v>
      </c>
      <c r="AB164" s="5">
        <v>124.4</v>
      </c>
      <c r="AC164" s="5">
        <v>128.6</v>
      </c>
      <c r="AD164" s="5">
        <v>136.19999999999999</v>
      </c>
    </row>
    <row r="165" spans="1:30" x14ac:dyDescent="0.3">
      <c r="A165" s="6" t="s">
        <v>33</v>
      </c>
      <c r="B165" s="6">
        <v>2017</v>
      </c>
      <c r="C165" s="6" t="s">
        <v>40</v>
      </c>
      <c r="D165" s="6">
        <v>132.80000000000001</v>
      </c>
      <c r="E165" s="6">
        <v>148.4</v>
      </c>
      <c r="F165" s="6">
        <v>129.4</v>
      </c>
      <c r="G165" s="6">
        <v>137.69999999999999</v>
      </c>
      <c r="H165" s="6">
        <v>113.4</v>
      </c>
      <c r="I165" s="6">
        <v>139.4</v>
      </c>
      <c r="J165" s="6">
        <v>175.1</v>
      </c>
      <c r="K165" s="6">
        <v>124.7</v>
      </c>
      <c r="L165" s="6">
        <v>121.5</v>
      </c>
      <c r="M165" s="6">
        <v>137.80000000000001</v>
      </c>
      <c r="N165" s="6">
        <v>124.4</v>
      </c>
      <c r="O165" s="6">
        <v>143.69999999999999</v>
      </c>
      <c r="P165" s="6">
        <v>139.80000000000001</v>
      </c>
      <c r="Q165" s="6">
        <v>150.5</v>
      </c>
      <c r="R165" s="6">
        <v>131.6</v>
      </c>
      <c r="S165" s="6">
        <v>123.7</v>
      </c>
      <c r="T165" s="6">
        <v>130.4</v>
      </c>
      <c r="U165" s="6">
        <v>132.6</v>
      </c>
      <c r="V165" s="6">
        <v>119.7</v>
      </c>
      <c r="W165" s="6">
        <v>127.2</v>
      </c>
      <c r="X165" s="6">
        <v>125</v>
      </c>
      <c r="Y165" s="6">
        <v>113.2</v>
      </c>
      <c r="Z165" s="6">
        <v>123.5</v>
      </c>
      <c r="AA165" s="6">
        <v>135.5</v>
      </c>
      <c r="AB165" s="6">
        <v>122.4</v>
      </c>
      <c r="AC165" s="6">
        <v>123</v>
      </c>
      <c r="AD165" s="6">
        <v>131.80000000000001</v>
      </c>
    </row>
    <row r="166" spans="1:30" x14ac:dyDescent="0.3">
      <c r="A166" s="5" t="s">
        <v>34</v>
      </c>
      <c r="B166" s="5">
        <v>2017</v>
      </c>
      <c r="C166" s="5" t="s">
        <v>40</v>
      </c>
      <c r="D166" s="5">
        <v>133.6</v>
      </c>
      <c r="E166" s="5">
        <v>145.69999999999999</v>
      </c>
      <c r="F166" s="5">
        <v>129.6</v>
      </c>
      <c r="G166" s="5">
        <v>138.5</v>
      </c>
      <c r="H166" s="5">
        <v>118.1</v>
      </c>
      <c r="I166" s="5">
        <v>141.80000000000001</v>
      </c>
      <c r="J166" s="5">
        <v>159.5</v>
      </c>
      <c r="K166" s="5">
        <v>133.6</v>
      </c>
      <c r="L166" s="5">
        <v>120.5</v>
      </c>
      <c r="M166" s="5">
        <v>135.19999999999999</v>
      </c>
      <c r="N166" s="5">
        <v>128.5</v>
      </c>
      <c r="O166" s="5">
        <v>145.80000000000001</v>
      </c>
      <c r="P166" s="5">
        <v>139</v>
      </c>
      <c r="Q166" s="5">
        <v>148.19999999999999</v>
      </c>
      <c r="R166" s="5">
        <v>139.30000000000001</v>
      </c>
      <c r="S166" s="5">
        <v>132.1</v>
      </c>
      <c r="T166" s="5">
        <v>138.30000000000001</v>
      </c>
      <c r="U166" s="5">
        <v>132.6</v>
      </c>
      <c r="V166" s="5">
        <v>129.4</v>
      </c>
      <c r="W166" s="5">
        <v>131.9</v>
      </c>
      <c r="X166" s="5">
        <v>129.4</v>
      </c>
      <c r="Y166" s="5">
        <v>116</v>
      </c>
      <c r="Z166" s="5">
        <v>126.6</v>
      </c>
      <c r="AA166" s="5">
        <v>136.80000000000001</v>
      </c>
      <c r="AB166" s="5">
        <v>123.6</v>
      </c>
      <c r="AC166" s="5">
        <v>125.9</v>
      </c>
      <c r="AD166" s="5">
        <v>134.19999999999999</v>
      </c>
    </row>
    <row r="167" spans="1:30" x14ac:dyDescent="0.3">
      <c r="A167" s="6" t="s">
        <v>30</v>
      </c>
      <c r="B167" s="6">
        <v>2017</v>
      </c>
      <c r="C167" s="6" t="s">
        <v>41</v>
      </c>
      <c r="D167" s="6">
        <v>134.80000000000001</v>
      </c>
      <c r="E167" s="6">
        <v>143.1</v>
      </c>
      <c r="F167" s="6">
        <v>130</v>
      </c>
      <c r="G167" s="6">
        <v>139.4</v>
      </c>
      <c r="H167" s="6">
        <v>120.5</v>
      </c>
      <c r="I167" s="6">
        <v>148</v>
      </c>
      <c r="J167" s="6">
        <v>162.9</v>
      </c>
      <c r="K167" s="6">
        <v>137.4</v>
      </c>
      <c r="L167" s="6">
        <v>120.8</v>
      </c>
      <c r="M167" s="6">
        <v>134.69999999999999</v>
      </c>
      <c r="N167" s="6">
        <v>131.6</v>
      </c>
      <c r="O167" s="6">
        <v>148.69999999999999</v>
      </c>
      <c r="P167" s="6">
        <v>140.6</v>
      </c>
      <c r="Q167" s="6">
        <v>149</v>
      </c>
      <c r="R167" s="6">
        <v>145.30000000000001</v>
      </c>
      <c r="S167" s="6">
        <v>139.19999999999999</v>
      </c>
      <c r="T167" s="6">
        <v>144.5</v>
      </c>
      <c r="U167" s="6" t="s">
        <v>32</v>
      </c>
      <c r="V167" s="6">
        <v>136.4</v>
      </c>
      <c r="W167" s="6">
        <v>137.30000000000001</v>
      </c>
      <c r="X167" s="6">
        <v>133</v>
      </c>
      <c r="Y167" s="6">
        <v>120.3</v>
      </c>
      <c r="Z167" s="6">
        <v>131.5</v>
      </c>
      <c r="AA167" s="6">
        <v>140.19999999999999</v>
      </c>
      <c r="AB167" s="6">
        <v>125.4</v>
      </c>
      <c r="AC167" s="6">
        <v>129.69999999999999</v>
      </c>
      <c r="AD167" s="6">
        <v>137.80000000000001</v>
      </c>
    </row>
    <row r="168" spans="1:30" x14ac:dyDescent="0.3">
      <c r="A168" s="5" t="s">
        <v>33</v>
      </c>
      <c r="B168" s="5">
        <v>2017</v>
      </c>
      <c r="C168" s="5" t="s">
        <v>41</v>
      </c>
      <c r="D168" s="5">
        <v>133.19999999999999</v>
      </c>
      <c r="E168" s="5">
        <v>143.9</v>
      </c>
      <c r="F168" s="5">
        <v>128.30000000000001</v>
      </c>
      <c r="G168" s="5">
        <v>138.30000000000001</v>
      </c>
      <c r="H168" s="5">
        <v>114.1</v>
      </c>
      <c r="I168" s="5">
        <v>142.69999999999999</v>
      </c>
      <c r="J168" s="5">
        <v>179.8</v>
      </c>
      <c r="K168" s="5">
        <v>123.5</v>
      </c>
      <c r="L168" s="5">
        <v>122.1</v>
      </c>
      <c r="M168" s="5">
        <v>137.5</v>
      </c>
      <c r="N168" s="5">
        <v>124.6</v>
      </c>
      <c r="O168" s="5">
        <v>144.5</v>
      </c>
      <c r="P168" s="5">
        <v>140.5</v>
      </c>
      <c r="Q168" s="5">
        <v>152.1</v>
      </c>
      <c r="R168" s="5">
        <v>132.69999999999999</v>
      </c>
      <c r="S168" s="5">
        <v>124.3</v>
      </c>
      <c r="T168" s="5">
        <v>131.4</v>
      </c>
      <c r="U168" s="5">
        <v>134.4</v>
      </c>
      <c r="V168" s="5">
        <v>118.9</v>
      </c>
      <c r="W168" s="5">
        <v>127.7</v>
      </c>
      <c r="X168" s="5">
        <v>125.7</v>
      </c>
      <c r="Y168" s="5">
        <v>114.6</v>
      </c>
      <c r="Z168" s="5">
        <v>124.1</v>
      </c>
      <c r="AA168" s="5">
        <v>135.69999999999999</v>
      </c>
      <c r="AB168" s="5">
        <v>123.3</v>
      </c>
      <c r="AC168" s="5">
        <v>123.8</v>
      </c>
      <c r="AD168" s="5">
        <v>132.69999999999999</v>
      </c>
    </row>
    <row r="169" spans="1:30" x14ac:dyDescent="0.3">
      <c r="A169" s="6" t="s">
        <v>34</v>
      </c>
      <c r="B169" s="6">
        <v>2017</v>
      </c>
      <c r="C169" s="6" t="s">
        <v>41</v>
      </c>
      <c r="D169" s="6">
        <v>134.30000000000001</v>
      </c>
      <c r="E169" s="6">
        <v>143.4</v>
      </c>
      <c r="F169" s="6">
        <v>129.30000000000001</v>
      </c>
      <c r="G169" s="6">
        <v>139</v>
      </c>
      <c r="H169" s="6">
        <v>118.1</v>
      </c>
      <c r="I169" s="6">
        <v>145.5</v>
      </c>
      <c r="J169" s="6">
        <v>168.6</v>
      </c>
      <c r="K169" s="6">
        <v>132.69999999999999</v>
      </c>
      <c r="L169" s="6">
        <v>121.2</v>
      </c>
      <c r="M169" s="6">
        <v>135.6</v>
      </c>
      <c r="N169" s="6">
        <v>128.69999999999999</v>
      </c>
      <c r="O169" s="6">
        <v>146.80000000000001</v>
      </c>
      <c r="P169" s="6">
        <v>140.6</v>
      </c>
      <c r="Q169" s="6">
        <v>149.80000000000001</v>
      </c>
      <c r="R169" s="6">
        <v>140.30000000000001</v>
      </c>
      <c r="S169" s="6">
        <v>133</v>
      </c>
      <c r="T169" s="6">
        <v>139.30000000000001</v>
      </c>
      <c r="U169" s="6">
        <v>134.4</v>
      </c>
      <c r="V169" s="6">
        <v>129.80000000000001</v>
      </c>
      <c r="W169" s="6">
        <v>132.80000000000001</v>
      </c>
      <c r="X169" s="6">
        <v>130.19999999999999</v>
      </c>
      <c r="Y169" s="6">
        <v>117.3</v>
      </c>
      <c r="Z169" s="6">
        <v>127.3</v>
      </c>
      <c r="AA169" s="6">
        <v>137.6</v>
      </c>
      <c r="AB169" s="6">
        <v>124.5</v>
      </c>
      <c r="AC169" s="6">
        <v>126.8</v>
      </c>
      <c r="AD169" s="6">
        <v>135.4</v>
      </c>
    </row>
    <row r="170" spans="1:30" x14ac:dyDescent="0.3">
      <c r="A170" s="5" t="s">
        <v>30</v>
      </c>
      <c r="B170" s="5">
        <v>2017</v>
      </c>
      <c r="C170" s="5" t="s">
        <v>42</v>
      </c>
      <c r="D170" s="5">
        <v>135.19999999999999</v>
      </c>
      <c r="E170" s="5">
        <v>142</v>
      </c>
      <c r="F170" s="5">
        <v>130.5</v>
      </c>
      <c r="G170" s="5">
        <v>140.19999999999999</v>
      </c>
      <c r="H170" s="5">
        <v>120.7</v>
      </c>
      <c r="I170" s="5">
        <v>147.80000000000001</v>
      </c>
      <c r="J170" s="5">
        <v>154.5</v>
      </c>
      <c r="K170" s="5">
        <v>137.1</v>
      </c>
      <c r="L170" s="5">
        <v>121</v>
      </c>
      <c r="M170" s="5">
        <v>134.69999999999999</v>
      </c>
      <c r="N170" s="5">
        <v>131.69999999999999</v>
      </c>
      <c r="O170" s="5">
        <v>149.30000000000001</v>
      </c>
      <c r="P170" s="5">
        <v>139.6</v>
      </c>
      <c r="Q170" s="5">
        <v>149.80000000000001</v>
      </c>
      <c r="R170" s="5">
        <v>146.1</v>
      </c>
      <c r="S170" s="5">
        <v>139.69999999999999</v>
      </c>
      <c r="T170" s="5">
        <v>145.19999999999999</v>
      </c>
      <c r="U170" s="5" t="s">
        <v>32</v>
      </c>
      <c r="V170" s="5">
        <v>137.4</v>
      </c>
      <c r="W170" s="5">
        <v>137.9</v>
      </c>
      <c r="X170" s="5">
        <v>133.4</v>
      </c>
      <c r="Y170" s="5">
        <v>121.2</v>
      </c>
      <c r="Z170" s="5">
        <v>132.30000000000001</v>
      </c>
      <c r="AA170" s="5">
        <v>139.6</v>
      </c>
      <c r="AB170" s="5">
        <v>126.7</v>
      </c>
      <c r="AC170" s="5">
        <v>130.30000000000001</v>
      </c>
      <c r="AD170" s="5">
        <v>137.6</v>
      </c>
    </row>
    <row r="171" spans="1:30" x14ac:dyDescent="0.3">
      <c r="A171" s="6" t="s">
        <v>33</v>
      </c>
      <c r="B171" s="6">
        <v>2017</v>
      </c>
      <c r="C171" s="6" t="s">
        <v>42</v>
      </c>
      <c r="D171" s="6">
        <v>133.6</v>
      </c>
      <c r="E171" s="6">
        <v>143</v>
      </c>
      <c r="F171" s="6">
        <v>129.69999999999999</v>
      </c>
      <c r="G171" s="6">
        <v>138.69999999999999</v>
      </c>
      <c r="H171" s="6">
        <v>114.5</v>
      </c>
      <c r="I171" s="6">
        <v>137.5</v>
      </c>
      <c r="J171" s="6">
        <v>160.69999999999999</v>
      </c>
      <c r="K171" s="6">
        <v>124.5</v>
      </c>
      <c r="L171" s="6">
        <v>122.4</v>
      </c>
      <c r="M171" s="6">
        <v>137.30000000000001</v>
      </c>
      <c r="N171" s="6">
        <v>124.8</v>
      </c>
      <c r="O171" s="6">
        <v>145</v>
      </c>
      <c r="P171" s="6">
        <v>138</v>
      </c>
      <c r="Q171" s="6">
        <v>153.6</v>
      </c>
      <c r="R171" s="6">
        <v>133.30000000000001</v>
      </c>
      <c r="S171" s="6">
        <v>124.6</v>
      </c>
      <c r="T171" s="6">
        <v>132</v>
      </c>
      <c r="U171" s="6">
        <v>135.69999999999999</v>
      </c>
      <c r="V171" s="6">
        <v>120.6</v>
      </c>
      <c r="W171" s="6">
        <v>128.1</v>
      </c>
      <c r="X171" s="6">
        <v>126.1</v>
      </c>
      <c r="Y171" s="6">
        <v>115.7</v>
      </c>
      <c r="Z171" s="6">
        <v>124.5</v>
      </c>
      <c r="AA171" s="6">
        <v>135.9</v>
      </c>
      <c r="AB171" s="6">
        <v>124.4</v>
      </c>
      <c r="AC171" s="6">
        <v>124.5</v>
      </c>
      <c r="AD171" s="6">
        <v>132.4</v>
      </c>
    </row>
    <row r="172" spans="1:30" x14ac:dyDescent="0.3">
      <c r="A172" s="5" t="s">
        <v>34</v>
      </c>
      <c r="B172" s="5">
        <v>2017</v>
      </c>
      <c r="C172" s="5" t="s">
        <v>42</v>
      </c>
      <c r="D172" s="5">
        <v>134.69999999999999</v>
      </c>
      <c r="E172" s="5">
        <v>142.4</v>
      </c>
      <c r="F172" s="5">
        <v>130.19999999999999</v>
      </c>
      <c r="G172" s="5">
        <v>139.6</v>
      </c>
      <c r="H172" s="5">
        <v>118.4</v>
      </c>
      <c r="I172" s="5">
        <v>143</v>
      </c>
      <c r="J172" s="5">
        <v>156.6</v>
      </c>
      <c r="K172" s="5">
        <v>132.9</v>
      </c>
      <c r="L172" s="5">
        <v>121.5</v>
      </c>
      <c r="M172" s="5">
        <v>135.6</v>
      </c>
      <c r="N172" s="5">
        <v>128.80000000000001</v>
      </c>
      <c r="O172" s="5">
        <v>147.30000000000001</v>
      </c>
      <c r="P172" s="5">
        <v>139</v>
      </c>
      <c r="Q172" s="5">
        <v>150.80000000000001</v>
      </c>
      <c r="R172" s="5">
        <v>141.1</v>
      </c>
      <c r="S172" s="5">
        <v>133.4</v>
      </c>
      <c r="T172" s="5">
        <v>140</v>
      </c>
      <c r="U172" s="5">
        <v>135.69999999999999</v>
      </c>
      <c r="V172" s="5">
        <v>131</v>
      </c>
      <c r="W172" s="5">
        <v>133.30000000000001</v>
      </c>
      <c r="X172" s="5">
        <v>130.6</v>
      </c>
      <c r="Y172" s="5">
        <v>118.3</v>
      </c>
      <c r="Z172" s="5">
        <v>127.9</v>
      </c>
      <c r="AA172" s="5">
        <v>137.4</v>
      </c>
      <c r="AB172" s="5">
        <v>125.7</v>
      </c>
      <c r="AC172" s="5">
        <v>127.5</v>
      </c>
      <c r="AD172" s="5">
        <v>135.19999999999999</v>
      </c>
    </row>
    <row r="173" spans="1:30" x14ac:dyDescent="0.3">
      <c r="A173" s="6" t="s">
        <v>30</v>
      </c>
      <c r="B173" s="6">
        <v>2017</v>
      </c>
      <c r="C173" s="6" t="s">
        <v>43</v>
      </c>
      <c r="D173" s="6">
        <v>135.9</v>
      </c>
      <c r="E173" s="6">
        <v>141.9</v>
      </c>
      <c r="F173" s="6">
        <v>131</v>
      </c>
      <c r="G173" s="6">
        <v>141.5</v>
      </c>
      <c r="H173" s="6">
        <v>121.4</v>
      </c>
      <c r="I173" s="6">
        <v>146.69999999999999</v>
      </c>
      <c r="J173" s="6">
        <v>157.1</v>
      </c>
      <c r="K173" s="6">
        <v>136.4</v>
      </c>
      <c r="L173" s="6">
        <v>121.4</v>
      </c>
      <c r="M173" s="6">
        <v>135.6</v>
      </c>
      <c r="N173" s="6">
        <v>131.30000000000001</v>
      </c>
      <c r="O173" s="6">
        <v>150.30000000000001</v>
      </c>
      <c r="P173" s="6">
        <v>140.4</v>
      </c>
      <c r="Q173" s="6">
        <v>150.5</v>
      </c>
      <c r="R173" s="6">
        <v>147.19999999999999</v>
      </c>
      <c r="S173" s="6">
        <v>140.6</v>
      </c>
      <c r="T173" s="6">
        <v>146.19999999999999</v>
      </c>
      <c r="U173" s="6" t="s">
        <v>32</v>
      </c>
      <c r="V173" s="6">
        <v>138.1</v>
      </c>
      <c r="W173" s="6">
        <v>138.4</v>
      </c>
      <c r="X173" s="6">
        <v>134.19999999999999</v>
      </c>
      <c r="Y173" s="6">
        <v>121</v>
      </c>
      <c r="Z173" s="6">
        <v>133</v>
      </c>
      <c r="AA173" s="6">
        <v>140.1</v>
      </c>
      <c r="AB173" s="6">
        <v>127.4</v>
      </c>
      <c r="AC173" s="6">
        <v>130.69999999999999</v>
      </c>
      <c r="AD173" s="6">
        <v>138.30000000000001</v>
      </c>
    </row>
    <row r="174" spans="1:30" x14ac:dyDescent="0.3">
      <c r="A174" s="5" t="s">
        <v>33</v>
      </c>
      <c r="B174" s="5">
        <v>2017</v>
      </c>
      <c r="C174" s="5" t="s">
        <v>43</v>
      </c>
      <c r="D174" s="5">
        <v>133.9</v>
      </c>
      <c r="E174" s="5">
        <v>142.80000000000001</v>
      </c>
      <c r="F174" s="5">
        <v>131.4</v>
      </c>
      <c r="G174" s="5">
        <v>139.1</v>
      </c>
      <c r="H174" s="5">
        <v>114.9</v>
      </c>
      <c r="I174" s="5">
        <v>135.6</v>
      </c>
      <c r="J174" s="5">
        <v>173.2</v>
      </c>
      <c r="K174" s="5">
        <v>124.1</v>
      </c>
      <c r="L174" s="5">
        <v>122.6</v>
      </c>
      <c r="M174" s="5">
        <v>137.80000000000001</v>
      </c>
      <c r="N174" s="5">
        <v>125.1</v>
      </c>
      <c r="O174" s="5">
        <v>145.5</v>
      </c>
      <c r="P174" s="5">
        <v>139.69999999999999</v>
      </c>
      <c r="Q174" s="5">
        <v>154.6</v>
      </c>
      <c r="R174" s="5">
        <v>134</v>
      </c>
      <c r="S174" s="5">
        <v>124.9</v>
      </c>
      <c r="T174" s="5">
        <v>132.6</v>
      </c>
      <c r="U174" s="5">
        <v>137.30000000000001</v>
      </c>
      <c r="V174" s="5">
        <v>122.6</v>
      </c>
      <c r="W174" s="5">
        <v>128.30000000000001</v>
      </c>
      <c r="X174" s="5">
        <v>126.6</v>
      </c>
      <c r="Y174" s="5">
        <v>115</v>
      </c>
      <c r="Z174" s="5">
        <v>124.8</v>
      </c>
      <c r="AA174" s="5">
        <v>136.30000000000001</v>
      </c>
      <c r="AB174" s="5">
        <v>124.6</v>
      </c>
      <c r="AC174" s="5">
        <v>124.5</v>
      </c>
      <c r="AD174" s="5">
        <v>133.5</v>
      </c>
    </row>
    <row r="175" spans="1:30" x14ac:dyDescent="0.3">
      <c r="A175" s="6" t="s">
        <v>34</v>
      </c>
      <c r="B175" s="6">
        <v>2017</v>
      </c>
      <c r="C175" s="6" t="s">
        <v>43</v>
      </c>
      <c r="D175" s="6">
        <v>135.30000000000001</v>
      </c>
      <c r="E175" s="6">
        <v>142.19999999999999</v>
      </c>
      <c r="F175" s="6">
        <v>131.19999999999999</v>
      </c>
      <c r="G175" s="6">
        <v>140.6</v>
      </c>
      <c r="H175" s="6">
        <v>119</v>
      </c>
      <c r="I175" s="6">
        <v>141.5</v>
      </c>
      <c r="J175" s="6">
        <v>162.6</v>
      </c>
      <c r="K175" s="6">
        <v>132.30000000000001</v>
      </c>
      <c r="L175" s="6">
        <v>121.8</v>
      </c>
      <c r="M175" s="6">
        <v>136.30000000000001</v>
      </c>
      <c r="N175" s="6">
        <v>128.69999999999999</v>
      </c>
      <c r="O175" s="6">
        <v>148.1</v>
      </c>
      <c r="P175" s="6">
        <v>140.1</v>
      </c>
      <c r="Q175" s="6">
        <v>151.6</v>
      </c>
      <c r="R175" s="6">
        <v>142</v>
      </c>
      <c r="S175" s="6">
        <v>134.1</v>
      </c>
      <c r="T175" s="6">
        <v>140.80000000000001</v>
      </c>
      <c r="U175" s="6">
        <v>137.30000000000001</v>
      </c>
      <c r="V175" s="6">
        <v>132.19999999999999</v>
      </c>
      <c r="W175" s="6">
        <v>133.6</v>
      </c>
      <c r="X175" s="6">
        <v>131.30000000000001</v>
      </c>
      <c r="Y175" s="6">
        <v>117.8</v>
      </c>
      <c r="Z175" s="6">
        <v>128.4</v>
      </c>
      <c r="AA175" s="6">
        <v>137.9</v>
      </c>
      <c r="AB175" s="6">
        <v>126.2</v>
      </c>
      <c r="AC175" s="6">
        <v>127.7</v>
      </c>
      <c r="AD175" s="6">
        <v>136.1</v>
      </c>
    </row>
    <row r="176" spans="1:30" x14ac:dyDescent="0.3">
      <c r="A176" s="5" t="s">
        <v>30</v>
      </c>
      <c r="B176" s="5">
        <v>2017</v>
      </c>
      <c r="C176" s="5" t="s">
        <v>45</v>
      </c>
      <c r="D176" s="5">
        <v>136.30000000000001</v>
      </c>
      <c r="E176" s="5">
        <v>142.5</v>
      </c>
      <c r="F176" s="5">
        <v>140.5</v>
      </c>
      <c r="G176" s="5">
        <v>141.5</v>
      </c>
      <c r="H176" s="5">
        <v>121.6</v>
      </c>
      <c r="I176" s="5">
        <v>147.30000000000001</v>
      </c>
      <c r="J176" s="5">
        <v>168</v>
      </c>
      <c r="K176" s="5">
        <v>135.80000000000001</v>
      </c>
      <c r="L176" s="5">
        <v>122.5</v>
      </c>
      <c r="M176" s="5">
        <v>136</v>
      </c>
      <c r="N176" s="5">
        <v>131.9</v>
      </c>
      <c r="O176" s="5">
        <v>151.4</v>
      </c>
      <c r="P176" s="5">
        <v>142.4</v>
      </c>
      <c r="Q176" s="5">
        <v>152.1</v>
      </c>
      <c r="R176" s="5">
        <v>148.19999999999999</v>
      </c>
      <c r="S176" s="5">
        <v>141.5</v>
      </c>
      <c r="T176" s="5">
        <v>147.30000000000001</v>
      </c>
      <c r="U176" s="5" t="s">
        <v>32</v>
      </c>
      <c r="V176" s="5">
        <v>141.1</v>
      </c>
      <c r="W176" s="5">
        <v>139.4</v>
      </c>
      <c r="X176" s="5">
        <v>135.80000000000001</v>
      </c>
      <c r="Y176" s="5">
        <v>121.6</v>
      </c>
      <c r="Z176" s="5">
        <v>133.69999999999999</v>
      </c>
      <c r="AA176" s="5">
        <v>141.5</v>
      </c>
      <c r="AB176" s="5">
        <v>128.1</v>
      </c>
      <c r="AC176" s="5">
        <v>131.69999999999999</v>
      </c>
      <c r="AD176" s="5">
        <v>140</v>
      </c>
    </row>
    <row r="177" spans="1:30" x14ac:dyDescent="0.3">
      <c r="A177" s="6" t="s">
        <v>33</v>
      </c>
      <c r="B177" s="6">
        <v>2017</v>
      </c>
      <c r="C177" s="6" t="s">
        <v>45</v>
      </c>
      <c r="D177" s="6">
        <v>134.30000000000001</v>
      </c>
      <c r="E177" s="6">
        <v>142.1</v>
      </c>
      <c r="F177" s="6">
        <v>146.69999999999999</v>
      </c>
      <c r="G177" s="6">
        <v>139.5</v>
      </c>
      <c r="H177" s="6">
        <v>115.2</v>
      </c>
      <c r="I177" s="6">
        <v>136.4</v>
      </c>
      <c r="J177" s="6">
        <v>185.2</v>
      </c>
      <c r="K177" s="6">
        <v>122.2</v>
      </c>
      <c r="L177" s="6">
        <v>123.9</v>
      </c>
      <c r="M177" s="6">
        <v>138.30000000000001</v>
      </c>
      <c r="N177" s="6">
        <v>125.4</v>
      </c>
      <c r="O177" s="6">
        <v>146</v>
      </c>
      <c r="P177" s="6">
        <v>141.5</v>
      </c>
      <c r="Q177" s="6">
        <v>156.19999999999999</v>
      </c>
      <c r="R177" s="6">
        <v>135</v>
      </c>
      <c r="S177" s="6">
        <v>125.4</v>
      </c>
      <c r="T177" s="6">
        <v>133.5</v>
      </c>
      <c r="U177" s="6">
        <v>138.6</v>
      </c>
      <c r="V177" s="6">
        <v>125.7</v>
      </c>
      <c r="W177" s="6">
        <v>128.80000000000001</v>
      </c>
      <c r="X177" s="6">
        <v>127.4</v>
      </c>
      <c r="Y177" s="6">
        <v>115.3</v>
      </c>
      <c r="Z177" s="6">
        <v>125.1</v>
      </c>
      <c r="AA177" s="6">
        <v>136.6</v>
      </c>
      <c r="AB177" s="6">
        <v>124.9</v>
      </c>
      <c r="AC177" s="6">
        <v>124.9</v>
      </c>
      <c r="AD177" s="6">
        <v>134.80000000000001</v>
      </c>
    </row>
    <row r="178" spans="1:30" x14ac:dyDescent="0.3">
      <c r="A178" s="5" t="s">
        <v>34</v>
      </c>
      <c r="B178" s="5">
        <v>2017</v>
      </c>
      <c r="C178" s="5" t="s">
        <v>45</v>
      </c>
      <c r="D178" s="5">
        <v>135.69999999999999</v>
      </c>
      <c r="E178" s="5">
        <v>142.4</v>
      </c>
      <c r="F178" s="5">
        <v>142.9</v>
      </c>
      <c r="G178" s="5">
        <v>140.80000000000001</v>
      </c>
      <c r="H178" s="5">
        <v>119.2</v>
      </c>
      <c r="I178" s="5">
        <v>142.19999999999999</v>
      </c>
      <c r="J178" s="5">
        <v>173.8</v>
      </c>
      <c r="K178" s="5">
        <v>131.19999999999999</v>
      </c>
      <c r="L178" s="5">
        <v>123</v>
      </c>
      <c r="M178" s="5">
        <v>136.80000000000001</v>
      </c>
      <c r="N178" s="5">
        <v>129.19999999999999</v>
      </c>
      <c r="O178" s="5">
        <v>148.9</v>
      </c>
      <c r="P178" s="5">
        <v>142.1</v>
      </c>
      <c r="Q178" s="5">
        <v>153.19999999999999</v>
      </c>
      <c r="R178" s="5">
        <v>143</v>
      </c>
      <c r="S178" s="5">
        <v>134.80000000000001</v>
      </c>
      <c r="T178" s="5">
        <v>141.80000000000001</v>
      </c>
      <c r="U178" s="5">
        <v>138.6</v>
      </c>
      <c r="V178" s="5">
        <v>135.30000000000001</v>
      </c>
      <c r="W178" s="5">
        <v>134.4</v>
      </c>
      <c r="X178" s="5">
        <v>132.6</v>
      </c>
      <c r="Y178" s="5">
        <v>118.3</v>
      </c>
      <c r="Z178" s="5">
        <v>128.9</v>
      </c>
      <c r="AA178" s="5">
        <v>138.6</v>
      </c>
      <c r="AB178" s="5">
        <v>126.8</v>
      </c>
      <c r="AC178" s="5">
        <v>128.4</v>
      </c>
      <c r="AD178" s="5">
        <v>137.6</v>
      </c>
    </row>
    <row r="179" spans="1:30" x14ac:dyDescent="0.3">
      <c r="A179" s="6" t="s">
        <v>30</v>
      </c>
      <c r="B179" s="6">
        <v>2017</v>
      </c>
      <c r="C179" s="6" t="s">
        <v>46</v>
      </c>
      <c r="D179" s="6">
        <v>136.4</v>
      </c>
      <c r="E179" s="6">
        <v>143.69999999999999</v>
      </c>
      <c r="F179" s="6">
        <v>144.80000000000001</v>
      </c>
      <c r="G179" s="6">
        <v>141.9</v>
      </c>
      <c r="H179" s="6">
        <v>123.1</v>
      </c>
      <c r="I179" s="6">
        <v>147.19999999999999</v>
      </c>
      <c r="J179" s="6">
        <v>161</v>
      </c>
      <c r="K179" s="6">
        <v>133.80000000000001</v>
      </c>
      <c r="L179" s="6">
        <v>121.9</v>
      </c>
      <c r="M179" s="6">
        <v>135.80000000000001</v>
      </c>
      <c r="N179" s="6">
        <v>131.1</v>
      </c>
      <c r="O179" s="6">
        <v>151.4</v>
      </c>
      <c r="P179" s="6">
        <v>141.5</v>
      </c>
      <c r="Q179" s="6">
        <v>153.19999999999999</v>
      </c>
      <c r="R179" s="6">
        <v>148</v>
      </c>
      <c r="S179" s="6">
        <v>141.9</v>
      </c>
      <c r="T179" s="6">
        <v>147.19999999999999</v>
      </c>
      <c r="U179" s="6" t="s">
        <v>32</v>
      </c>
      <c r="V179" s="6">
        <v>142.6</v>
      </c>
      <c r="W179" s="6">
        <v>139.5</v>
      </c>
      <c r="X179" s="6">
        <v>136.1</v>
      </c>
      <c r="Y179" s="6">
        <v>122</v>
      </c>
      <c r="Z179" s="6">
        <v>133.4</v>
      </c>
      <c r="AA179" s="6">
        <v>141.1</v>
      </c>
      <c r="AB179" s="6">
        <v>127.8</v>
      </c>
      <c r="AC179" s="6">
        <v>131.9</v>
      </c>
      <c r="AD179" s="6">
        <v>139.80000000000001</v>
      </c>
    </row>
    <row r="180" spans="1:30" x14ac:dyDescent="0.3">
      <c r="A180" s="5" t="s">
        <v>33</v>
      </c>
      <c r="B180" s="5">
        <v>2017</v>
      </c>
      <c r="C180" s="5" t="s">
        <v>46</v>
      </c>
      <c r="D180" s="5">
        <v>134.4</v>
      </c>
      <c r="E180" s="5">
        <v>142.6</v>
      </c>
      <c r="F180" s="5">
        <v>145.9</v>
      </c>
      <c r="G180" s="5">
        <v>139.5</v>
      </c>
      <c r="H180" s="5">
        <v>115.9</v>
      </c>
      <c r="I180" s="5">
        <v>135</v>
      </c>
      <c r="J180" s="5">
        <v>163.19999999999999</v>
      </c>
      <c r="K180" s="5">
        <v>119.8</v>
      </c>
      <c r="L180" s="5">
        <v>120.7</v>
      </c>
      <c r="M180" s="5">
        <v>139.69999999999999</v>
      </c>
      <c r="N180" s="5">
        <v>125.7</v>
      </c>
      <c r="O180" s="5">
        <v>146.30000000000001</v>
      </c>
      <c r="P180" s="5">
        <v>138.80000000000001</v>
      </c>
      <c r="Q180" s="5">
        <v>157</v>
      </c>
      <c r="R180" s="5">
        <v>135.6</v>
      </c>
      <c r="S180" s="5">
        <v>125.6</v>
      </c>
      <c r="T180" s="5">
        <v>134</v>
      </c>
      <c r="U180" s="5">
        <v>139.1</v>
      </c>
      <c r="V180" s="5">
        <v>126.8</v>
      </c>
      <c r="W180" s="5">
        <v>129.30000000000001</v>
      </c>
      <c r="X180" s="5">
        <v>128.19999999999999</v>
      </c>
      <c r="Y180" s="5">
        <v>115.3</v>
      </c>
      <c r="Z180" s="5">
        <v>125.6</v>
      </c>
      <c r="AA180" s="5">
        <v>136.69999999999999</v>
      </c>
      <c r="AB180" s="5">
        <v>124.6</v>
      </c>
      <c r="AC180" s="5">
        <v>125.1</v>
      </c>
      <c r="AD180" s="5">
        <v>134.1</v>
      </c>
    </row>
    <row r="181" spans="1:30" x14ac:dyDescent="0.3">
      <c r="A181" s="6" t="s">
        <v>34</v>
      </c>
      <c r="B181" s="6">
        <v>2017</v>
      </c>
      <c r="C181" s="6" t="s">
        <v>46</v>
      </c>
      <c r="D181" s="6">
        <v>135.80000000000001</v>
      </c>
      <c r="E181" s="6">
        <v>143.30000000000001</v>
      </c>
      <c r="F181" s="6">
        <v>145.19999999999999</v>
      </c>
      <c r="G181" s="6">
        <v>141</v>
      </c>
      <c r="H181" s="6">
        <v>120.5</v>
      </c>
      <c r="I181" s="6">
        <v>141.5</v>
      </c>
      <c r="J181" s="6">
        <v>161.69999999999999</v>
      </c>
      <c r="K181" s="6">
        <v>129.1</v>
      </c>
      <c r="L181" s="6">
        <v>121.5</v>
      </c>
      <c r="M181" s="6">
        <v>137.1</v>
      </c>
      <c r="N181" s="6">
        <v>128.80000000000001</v>
      </c>
      <c r="O181" s="6">
        <v>149</v>
      </c>
      <c r="P181" s="6">
        <v>140.5</v>
      </c>
      <c r="Q181" s="6">
        <v>154.19999999999999</v>
      </c>
      <c r="R181" s="6">
        <v>143.1</v>
      </c>
      <c r="S181" s="6">
        <v>135.1</v>
      </c>
      <c r="T181" s="6">
        <v>142</v>
      </c>
      <c r="U181" s="6">
        <v>139.1</v>
      </c>
      <c r="V181" s="6">
        <v>136.6</v>
      </c>
      <c r="W181" s="6">
        <v>134.69999999999999</v>
      </c>
      <c r="X181" s="6">
        <v>133.1</v>
      </c>
      <c r="Y181" s="6">
        <v>118.5</v>
      </c>
      <c r="Z181" s="6">
        <v>129</v>
      </c>
      <c r="AA181" s="6">
        <v>138.5</v>
      </c>
      <c r="AB181" s="6">
        <v>126.5</v>
      </c>
      <c r="AC181" s="6">
        <v>128.6</v>
      </c>
      <c r="AD181" s="6">
        <v>137.19999999999999</v>
      </c>
    </row>
    <row r="182" spans="1:30" x14ac:dyDescent="0.3">
      <c r="A182" s="5" t="s">
        <v>30</v>
      </c>
      <c r="B182" s="5">
        <v>2018</v>
      </c>
      <c r="C182" s="5" t="s">
        <v>31</v>
      </c>
      <c r="D182" s="5">
        <v>136.6</v>
      </c>
      <c r="E182" s="5">
        <v>144.4</v>
      </c>
      <c r="F182" s="5">
        <v>143.80000000000001</v>
      </c>
      <c r="G182" s="5">
        <v>142</v>
      </c>
      <c r="H182" s="5">
        <v>123.2</v>
      </c>
      <c r="I182" s="5">
        <v>147.9</v>
      </c>
      <c r="J182" s="5">
        <v>152.1</v>
      </c>
      <c r="K182" s="5">
        <v>131.80000000000001</v>
      </c>
      <c r="L182" s="5">
        <v>119.5</v>
      </c>
      <c r="M182" s="5">
        <v>136</v>
      </c>
      <c r="N182" s="5">
        <v>131.19999999999999</v>
      </c>
      <c r="O182" s="5">
        <v>151.80000000000001</v>
      </c>
      <c r="P182" s="5">
        <v>140.4</v>
      </c>
      <c r="Q182" s="5">
        <v>153.6</v>
      </c>
      <c r="R182" s="5">
        <v>148.30000000000001</v>
      </c>
      <c r="S182" s="5">
        <v>142.30000000000001</v>
      </c>
      <c r="T182" s="5">
        <v>147.5</v>
      </c>
      <c r="U182" s="5" t="s">
        <v>32</v>
      </c>
      <c r="V182" s="5">
        <v>142.30000000000001</v>
      </c>
      <c r="W182" s="5">
        <v>139.80000000000001</v>
      </c>
      <c r="X182" s="5">
        <v>136</v>
      </c>
      <c r="Y182" s="5">
        <v>122.7</v>
      </c>
      <c r="Z182" s="5">
        <v>134.30000000000001</v>
      </c>
      <c r="AA182" s="5">
        <v>141.6</v>
      </c>
      <c r="AB182" s="5">
        <v>128.6</v>
      </c>
      <c r="AC182" s="5">
        <v>132.30000000000001</v>
      </c>
      <c r="AD182" s="5">
        <v>139.30000000000001</v>
      </c>
    </row>
    <row r="183" spans="1:30" x14ac:dyDescent="0.3">
      <c r="A183" s="6" t="s">
        <v>33</v>
      </c>
      <c r="B183" s="6">
        <v>2018</v>
      </c>
      <c r="C183" s="6" t="s">
        <v>31</v>
      </c>
      <c r="D183" s="6">
        <v>134.6</v>
      </c>
      <c r="E183" s="6">
        <v>143.69999999999999</v>
      </c>
      <c r="F183" s="6">
        <v>143.6</v>
      </c>
      <c r="G183" s="6">
        <v>139.6</v>
      </c>
      <c r="H183" s="6">
        <v>116.4</v>
      </c>
      <c r="I183" s="6">
        <v>133.80000000000001</v>
      </c>
      <c r="J183" s="6">
        <v>150.5</v>
      </c>
      <c r="K183" s="6">
        <v>118.4</v>
      </c>
      <c r="L183" s="6">
        <v>117.3</v>
      </c>
      <c r="M183" s="6">
        <v>140.5</v>
      </c>
      <c r="N183" s="6">
        <v>125.9</v>
      </c>
      <c r="O183" s="6">
        <v>146.80000000000001</v>
      </c>
      <c r="P183" s="6">
        <v>137.19999999999999</v>
      </c>
      <c r="Q183" s="6">
        <v>157.69999999999999</v>
      </c>
      <c r="R183" s="6">
        <v>136</v>
      </c>
      <c r="S183" s="6">
        <v>125.9</v>
      </c>
      <c r="T183" s="6">
        <v>134.4</v>
      </c>
      <c r="U183" s="6">
        <v>140.4</v>
      </c>
      <c r="V183" s="6">
        <v>127.3</v>
      </c>
      <c r="W183" s="6">
        <v>129.5</v>
      </c>
      <c r="X183" s="6">
        <v>129</v>
      </c>
      <c r="Y183" s="6">
        <v>116.3</v>
      </c>
      <c r="Z183" s="6">
        <v>126.2</v>
      </c>
      <c r="AA183" s="6">
        <v>137.1</v>
      </c>
      <c r="AB183" s="6">
        <v>125.5</v>
      </c>
      <c r="AC183" s="6">
        <v>125.8</v>
      </c>
      <c r="AD183" s="6">
        <v>134.1</v>
      </c>
    </row>
    <row r="184" spans="1:30" x14ac:dyDescent="0.3">
      <c r="A184" s="5" t="s">
        <v>34</v>
      </c>
      <c r="B184" s="5">
        <v>2018</v>
      </c>
      <c r="C184" s="5" t="s">
        <v>31</v>
      </c>
      <c r="D184" s="5">
        <v>136</v>
      </c>
      <c r="E184" s="5">
        <v>144.19999999999999</v>
      </c>
      <c r="F184" s="5">
        <v>143.69999999999999</v>
      </c>
      <c r="G184" s="5">
        <v>141.1</v>
      </c>
      <c r="H184" s="5">
        <v>120.7</v>
      </c>
      <c r="I184" s="5">
        <v>141.30000000000001</v>
      </c>
      <c r="J184" s="5">
        <v>151.6</v>
      </c>
      <c r="K184" s="5">
        <v>127.3</v>
      </c>
      <c r="L184" s="5">
        <v>118.8</v>
      </c>
      <c r="M184" s="5">
        <v>137.5</v>
      </c>
      <c r="N184" s="5">
        <v>129</v>
      </c>
      <c r="O184" s="5">
        <v>149.5</v>
      </c>
      <c r="P184" s="5">
        <v>139.19999999999999</v>
      </c>
      <c r="Q184" s="5">
        <v>154.69999999999999</v>
      </c>
      <c r="R184" s="5">
        <v>143.5</v>
      </c>
      <c r="S184" s="5">
        <v>135.5</v>
      </c>
      <c r="T184" s="5">
        <v>142.30000000000001</v>
      </c>
      <c r="U184" s="5">
        <v>140.4</v>
      </c>
      <c r="V184" s="5">
        <v>136.6</v>
      </c>
      <c r="W184" s="5">
        <v>134.9</v>
      </c>
      <c r="X184" s="5">
        <v>133.30000000000001</v>
      </c>
      <c r="Y184" s="5">
        <v>119.3</v>
      </c>
      <c r="Z184" s="5">
        <v>129.69999999999999</v>
      </c>
      <c r="AA184" s="5">
        <v>139</v>
      </c>
      <c r="AB184" s="5">
        <v>127.3</v>
      </c>
      <c r="AC184" s="5">
        <v>129.1</v>
      </c>
      <c r="AD184" s="5">
        <v>136.9</v>
      </c>
    </row>
    <row r="185" spans="1:30" x14ac:dyDescent="0.3">
      <c r="A185" s="6" t="s">
        <v>30</v>
      </c>
      <c r="B185" s="6">
        <v>2018</v>
      </c>
      <c r="C185" s="6" t="s">
        <v>35</v>
      </c>
      <c r="D185" s="6">
        <v>136.4</v>
      </c>
      <c r="E185" s="6">
        <v>143.69999999999999</v>
      </c>
      <c r="F185" s="6">
        <v>140.6</v>
      </c>
      <c r="G185" s="6">
        <v>141.5</v>
      </c>
      <c r="H185" s="6">
        <v>122.9</v>
      </c>
      <c r="I185" s="6">
        <v>149.4</v>
      </c>
      <c r="J185" s="6">
        <v>142.4</v>
      </c>
      <c r="K185" s="6">
        <v>130.19999999999999</v>
      </c>
      <c r="L185" s="6">
        <v>117.9</v>
      </c>
      <c r="M185" s="6">
        <v>135.6</v>
      </c>
      <c r="N185" s="6">
        <v>130.5</v>
      </c>
      <c r="O185" s="6">
        <v>151.69999999999999</v>
      </c>
      <c r="P185" s="6">
        <v>138.69999999999999</v>
      </c>
      <c r="Q185" s="6">
        <v>153.30000000000001</v>
      </c>
      <c r="R185" s="6">
        <v>148.69999999999999</v>
      </c>
      <c r="S185" s="6">
        <v>142.4</v>
      </c>
      <c r="T185" s="6">
        <v>147.80000000000001</v>
      </c>
      <c r="U185" s="6" t="s">
        <v>32</v>
      </c>
      <c r="V185" s="6">
        <v>142.4</v>
      </c>
      <c r="W185" s="6">
        <v>139.9</v>
      </c>
      <c r="X185" s="6">
        <v>136.19999999999999</v>
      </c>
      <c r="Y185" s="6">
        <v>123.3</v>
      </c>
      <c r="Z185" s="6">
        <v>134.30000000000001</v>
      </c>
      <c r="AA185" s="6">
        <v>141.5</v>
      </c>
      <c r="AB185" s="6">
        <v>128.80000000000001</v>
      </c>
      <c r="AC185" s="6">
        <v>132.5</v>
      </c>
      <c r="AD185" s="6">
        <v>138.5</v>
      </c>
    </row>
    <row r="186" spans="1:30" x14ac:dyDescent="0.3">
      <c r="A186" s="5" t="s">
        <v>33</v>
      </c>
      <c r="B186" s="5">
        <v>2018</v>
      </c>
      <c r="C186" s="5" t="s">
        <v>35</v>
      </c>
      <c r="D186" s="5">
        <v>134.80000000000001</v>
      </c>
      <c r="E186" s="5">
        <v>143</v>
      </c>
      <c r="F186" s="5">
        <v>139.9</v>
      </c>
      <c r="G186" s="5">
        <v>139.9</v>
      </c>
      <c r="H186" s="5">
        <v>116.2</v>
      </c>
      <c r="I186" s="5">
        <v>135.5</v>
      </c>
      <c r="J186" s="5">
        <v>136.9</v>
      </c>
      <c r="K186" s="5">
        <v>117</v>
      </c>
      <c r="L186" s="5">
        <v>115.4</v>
      </c>
      <c r="M186" s="5">
        <v>140.69999999999999</v>
      </c>
      <c r="N186" s="5">
        <v>125.9</v>
      </c>
      <c r="O186" s="5">
        <v>147.1</v>
      </c>
      <c r="P186" s="5">
        <v>135.6</v>
      </c>
      <c r="Q186" s="5">
        <v>159.30000000000001</v>
      </c>
      <c r="R186" s="5">
        <v>136.30000000000001</v>
      </c>
      <c r="S186" s="5">
        <v>126.1</v>
      </c>
      <c r="T186" s="5">
        <v>134.69999999999999</v>
      </c>
      <c r="U186" s="5">
        <v>141.30000000000001</v>
      </c>
      <c r="V186" s="5">
        <v>127.3</v>
      </c>
      <c r="W186" s="5">
        <v>129.9</v>
      </c>
      <c r="X186" s="5">
        <v>129.80000000000001</v>
      </c>
      <c r="Y186" s="5">
        <v>117.4</v>
      </c>
      <c r="Z186" s="5">
        <v>126.5</v>
      </c>
      <c r="AA186" s="5">
        <v>137.19999999999999</v>
      </c>
      <c r="AB186" s="5">
        <v>126.2</v>
      </c>
      <c r="AC186" s="5">
        <v>126.5</v>
      </c>
      <c r="AD186" s="5">
        <v>134</v>
      </c>
    </row>
    <row r="187" spans="1:30" x14ac:dyDescent="0.3">
      <c r="A187" s="6" t="s">
        <v>34</v>
      </c>
      <c r="B187" s="6">
        <v>2018</v>
      </c>
      <c r="C187" s="6" t="s">
        <v>35</v>
      </c>
      <c r="D187" s="6">
        <v>135.9</v>
      </c>
      <c r="E187" s="6">
        <v>143.5</v>
      </c>
      <c r="F187" s="6">
        <v>140.30000000000001</v>
      </c>
      <c r="G187" s="6">
        <v>140.9</v>
      </c>
      <c r="H187" s="6">
        <v>120.4</v>
      </c>
      <c r="I187" s="6">
        <v>142.9</v>
      </c>
      <c r="J187" s="6">
        <v>140.5</v>
      </c>
      <c r="K187" s="6">
        <v>125.8</v>
      </c>
      <c r="L187" s="6">
        <v>117.1</v>
      </c>
      <c r="M187" s="6">
        <v>137.30000000000001</v>
      </c>
      <c r="N187" s="6">
        <v>128.6</v>
      </c>
      <c r="O187" s="6">
        <v>149.6</v>
      </c>
      <c r="P187" s="6">
        <v>137.6</v>
      </c>
      <c r="Q187" s="6">
        <v>154.9</v>
      </c>
      <c r="R187" s="6">
        <v>143.80000000000001</v>
      </c>
      <c r="S187" s="6">
        <v>135.6</v>
      </c>
      <c r="T187" s="6">
        <v>142.6</v>
      </c>
      <c r="U187" s="6">
        <v>141.30000000000001</v>
      </c>
      <c r="V187" s="6">
        <v>136.69999999999999</v>
      </c>
      <c r="W187" s="6">
        <v>135.19999999999999</v>
      </c>
      <c r="X187" s="6">
        <v>133.80000000000001</v>
      </c>
      <c r="Y187" s="6">
        <v>120.2</v>
      </c>
      <c r="Z187" s="6">
        <v>129.9</v>
      </c>
      <c r="AA187" s="6">
        <v>139</v>
      </c>
      <c r="AB187" s="6">
        <v>127.7</v>
      </c>
      <c r="AC187" s="6">
        <v>129.6</v>
      </c>
      <c r="AD187" s="6">
        <v>136.4</v>
      </c>
    </row>
    <row r="188" spans="1:30" x14ac:dyDescent="0.3">
      <c r="A188" s="5" t="s">
        <v>30</v>
      </c>
      <c r="B188" s="5">
        <v>2018</v>
      </c>
      <c r="C188" s="5" t="s">
        <v>36</v>
      </c>
      <c r="D188" s="5">
        <v>136.80000000000001</v>
      </c>
      <c r="E188" s="5">
        <v>143.80000000000001</v>
      </c>
      <c r="F188" s="5">
        <v>140</v>
      </c>
      <c r="G188" s="5">
        <v>142</v>
      </c>
      <c r="H188" s="5">
        <v>123.2</v>
      </c>
      <c r="I188" s="5">
        <v>152.9</v>
      </c>
      <c r="J188" s="5">
        <v>138</v>
      </c>
      <c r="K188" s="5">
        <v>129.30000000000001</v>
      </c>
      <c r="L188" s="5">
        <v>117.1</v>
      </c>
      <c r="M188" s="5">
        <v>136.30000000000001</v>
      </c>
      <c r="N188" s="5">
        <v>131.19999999999999</v>
      </c>
      <c r="O188" s="5">
        <v>152.80000000000001</v>
      </c>
      <c r="P188" s="5">
        <v>138.6</v>
      </c>
      <c r="Q188" s="5">
        <v>155.1</v>
      </c>
      <c r="R188" s="5">
        <v>149.19999999999999</v>
      </c>
      <c r="S188" s="5">
        <v>143</v>
      </c>
      <c r="T188" s="5">
        <v>148.30000000000001</v>
      </c>
      <c r="U188" s="5" t="s">
        <v>32</v>
      </c>
      <c r="V188" s="5">
        <v>142.6</v>
      </c>
      <c r="W188" s="5">
        <v>139.9</v>
      </c>
      <c r="X188" s="5">
        <v>136.69999999999999</v>
      </c>
      <c r="Y188" s="5">
        <v>124.6</v>
      </c>
      <c r="Z188" s="5">
        <v>135.1</v>
      </c>
      <c r="AA188" s="5">
        <v>142.69999999999999</v>
      </c>
      <c r="AB188" s="5">
        <v>129.30000000000001</v>
      </c>
      <c r="AC188" s="5">
        <v>133.30000000000001</v>
      </c>
      <c r="AD188" s="5">
        <v>138.69999999999999</v>
      </c>
    </row>
    <row r="189" spans="1:30" x14ac:dyDescent="0.3">
      <c r="A189" s="6" t="s">
        <v>33</v>
      </c>
      <c r="B189" s="6">
        <v>2018</v>
      </c>
      <c r="C189" s="6" t="s">
        <v>36</v>
      </c>
      <c r="D189" s="6">
        <v>135</v>
      </c>
      <c r="E189" s="6">
        <v>143.1</v>
      </c>
      <c r="F189" s="6">
        <v>135.5</v>
      </c>
      <c r="G189" s="6">
        <v>139.9</v>
      </c>
      <c r="H189" s="6">
        <v>116.5</v>
      </c>
      <c r="I189" s="6">
        <v>138.5</v>
      </c>
      <c r="J189" s="6">
        <v>128</v>
      </c>
      <c r="K189" s="6">
        <v>115.5</v>
      </c>
      <c r="L189" s="6">
        <v>114.2</v>
      </c>
      <c r="M189" s="6">
        <v>140.69999999999999</v>
      </c>
      <c r="N189" s="6">
        <v>126.2</v>
      </c>
      <c r="O189" s="6">
        <v>147.6</v>
      </c>
      <c r="P189" s="6">
        <v>134.80000000000001</v>
      </c>
      <c r="Q189" s="6">
        <v>159.69999999999999</v>
      </c>
      <c r="R189" s="6">
        <v>136.69999999999999</v>
      </c>
      <c r="S189" s="6">
        <v>126.7</v>
      </c>
      <c r="T189" s="6">
        <v>135.19999999999999</v>
      </c>
      <c r="U189" s="6">
        <v>142</v>
      </c>
      <c r="V189" s="6">
        <v>126.4</v>
      </c>
      <c r="W189" s="6">
        <v>130.80000000000001</v>
      </c>
      <c r="X189" s="6">
        <v>130.5</v>
      </c>
      <c r="Y189" s="6">
        <v>117.8</v>
      </c>
      <c r="Z189" s="6">
        <v>126.8</v>
      </c>
      <c r="AA189" s="6">
        <v>137.80000000000001</v>
      </c>
      <c r="AB189" s="6">
        <v>126.7</v>
      </c>
      <c r="AC189" s="6">
        <v>127.1</v>
      </c>
      <c r="AD189" s="6">
        <v>134</v>
      </c>
    </row>
    <row r="190" spans="1:30" x14ac:dyDescent="0.3">
      <c r="A190" s="5" t="s">
        <v>34</v>
      </c>
      <c r="B190" s="5">
        <v>2018</v>
      </c>
      <c r="C190" s="5" t="s">
        <v>36</v>
      </c>
      <c r="D190" s="5">
        <v>136.19999999999999</v>
      </c>
      <c r="E190" s="5">
        <v>143.6</v>
      </c>
      <c r="F190" s="5">
        <v>138.30000000000001</v>
      </c>
      <c r="G190" s="5">
        <v>141.19999999999999</v>
      </c>
      <c r="H190" s="5">
        <v>120.7</v>
      </c>
      <c r="I190" s="5">
        <v>146.19999999999999</v>
      </c>
      <c r="J190" s="5">
        <v>134.6</v>
      </c>
      <c r="K190" s="5">
        <v>124.6</v>
      </c>
      <c r="L190" s="5">
        <v>116.1</v>
      </c>
      <c r="M190" s="5">
        <v>137.80000000000001</v>
      </c>
      <c r="N190" s="5">
        <v>129.1</v>
      </c>
      <c r="O190" s="5">
        <v>150.4</v>
      </c>
      <c r="P190" s="5">
        <v>137.19999999999999</v>
      </c>
      <c r="Q190" s="5">
        <v>156.30000000000001</v>
      </c>
      <c r="R190" s="5">
        <v>144.30000000000001</v>
      </c>
      <c r="S190" s="5">
        <v>136.19999999999999</v>
      </c>
      <c r="T190" s="5">
        <v>143.1</v>
      </c>
      <c r="U190" s="5">
        <v>142</v>
      </c>
      <c r="V190" s="5">
        <v>136.5</v>
      </c>
      <c r="W190" s="5">
        <v>135.6</v>
      </c>
      <c r="X190" s="5">
        <v>134.30000000000001</v>
      </c>
      <c r="Y190" s="5">
        <v>121</v>
      </c>
      <c r="Z190" s="5">
        <v>130.4</v>
      </c>
      <c r="AA190" s="5">
        <v>139.80000000000001</v>
      </c>
      <c r="AB190" s="5">
        <v>128.19999999999999</v>
      </c>
      <c r="AC190" s="5">
        <v>130.30000000000001</v>
      </c>
      <c r="AD190" s="5">
        <v>136.5</v>
      </c>
    </row>
    <row r="191" spans="1:30" x14ac:dyDescent="0.3">
      <c r="A191" s="6" t="s">
        <v>30</v>
      </c>
      <c r="B191" s="6">
        <v>2018</v>
      </c>
      <c r="C191" s="6" t="s">
        <v>37</v>
      </c>
      <c r="D191" s="6">
        <v>137.1</v>
      </c>
      <c r="E191" s="6">
        <v>144.5</v>
      </c>
      <c r="F191" s="6">
        <v>135.9</v>
      </c>
      <c r="G191" s="6">
        <v>142.4</v>
      </c>
      <c r="H191" s="6">
        <v>123.5</v>
      </c>
      <c r="I191" s="6">
        <v>156.4</v>
      </c>
      <c r="J191" s="6">
        <v>135.1</v>
      </c>
      <c r="K191" s="6">
        <v>128.4</v>
      </c>
      <c r="L191" s="6">
        <v>115.2</v>
      </c>
      <c r="M191" s="6">
        <v>137.19999999999999</v>
      </c>
      <c r="N191" s="6">
        <v>131.9</v>
      </c>
      <c r="O191" s="6">
        <v>153.80000000000001</v>
      </c>
      <c r="P191" s="6">
        <v>138.6</v>
      </c>
      <c r="Q191" s="6">
        <v>156.1</v>
      </c>
      <c r="R191" s="6">
        <v>150.1</v>
      </c>
      <c r="S191" s="6">
        <v>143.30000000000001</v>
      </c>
      <c r="T191" s="6">
        <v>149.1</v>
      </c>
      <c r="U191" s="6" t="s">
        <v>32</v>
      </c>
      <c r="V191" s="6">
        <v>143.80000000000001</v>
      </c>
      <c r="W191" s="6">
        <v>140.9</v>
      </c>
      <c r="X191" s="6">
        <v>137.6</v>
      </c>
      <c r="Y191" s="6">
        <v>125.3</v>
      </c>
      <c r="Z191" s="6">
        <v>136</v>
      </c>
      <c r="AA191" s="6">
        <v>143.69999999999999</v>
      </c>
      <c r="AB191" s="6">
        <v>130.4</v>
      </c>
      <c r="AC191" s="6">
        <v>134.19999999999999</v>
      </c>
      <c r="AD191" s="6">
        <v>139.1</v>
      </c>
    </row>
    <row r="192" spans="1:30" x14ac:dyDescent="0.3">
      <c r="A192" s="5" t="s">
        <v>33</v>
      </c>
      <c r="B192" s="5">
        <v>2018</v>
      </c>
      <c r="C192" s="5" t="s">
        <v>37</v>
      </c>
      <c r="D192" s="5">
        <v>135</v>
      </c>
      <c r="E192" s="5">
        <v>144.30000000000001</v>
      </c>
      <c r="F192" s="5">
        <v>130.80000000000001</v>
      </c>
      <c r="G192" s="5">
        <v>140.30000000000001</v>
      </c>
      <c r="H192" s="5">
        <v>116.6</v>
      </c>
      <c r="I192" s="5">
        <v>150.1</v>
      </c>
      <c r="J192" s="5">
        <v>127.6</v>
      </c>
      <c r="K192" s="5">
        <v>114</v>
      </c>
      <c r="L192" s="5">
        <v>110.6</v>
      </c>
      <c r="M192" s="5">
        <v>140.19999999999999</v>
      </c>
      <c r="N192" s="5">
        <v>126.5</v>
      </c>
      <c r="O192" s="5">
        <v>148.30000000000001</v>
      </c>
      <c r="P192" s="5">
        <v>135.69999999999999</v>
      </c>
      <c r="Q192" s="5">
        <v>159.19999999999999</v>
      </c>
      <c r="R192" s="5">
        <v>137.80000000000001</v>
      </c>
      <c r="S192" s="5">
        <v>127.4</v>
      </c>
      <c r="T192" s="5">
        <v>136.19999999999999</v>
      </c>
      <c r="U192" s="5">
        <v>142.9</v>
      </c>
      <c r="V192" s="5">
        <v>124.6</v>
      </c>
      <c r="W192" s="5">
        <v>131.80000000000001</v>
      </c>
      <c r="X192" s="5">
        <v>131.30000000000001</v>
      </c>
      <c r="Y192" s="5">
        <v>118.9</v>
      </c>
      <c r="Z192" s="5">
        <v>127.6</v>
      </c>
      <c r="AA192" s="5">
        <v>139.69999999999999</v>
      </c>
      <c r="AB192" s="5">
        <v>127.6</v>
      </c>
      <c r="AC192" s="5">
        <v>128.19999999999999</v>
      </c>
      <c r="AD192" s="5">
        <v>134.80000000000001</v>
      </c>
    </row>
    <row r="193" spans="1:30" x14ac:dyDescent="0.3">
      <c r="A193" s="6" t="s">
        <v>34</v>
      </c>
      <c r="B193" s="6">
        <v>2018</v>
      </c>
      <c r="C193" s="6" t="s">
        <v>37</v>
      </c>
      <c r="D193" s="6">
        <v>136.4</v>
      </c>
      <c r="E193" s="6">
        <v>144.4</v>
      </c>
      <c r="F193" s="6">
        <v>133.9</v>
      </c>
      <c r="G193" s="6">
        <v>141.6</v>
      </c>
      <c r="H193" s="6">
        <v>121</v>
      </c>
      <c r="I193" s="6">
        <v>153.5</v>
      </c>
      <c r="J193" s="6">
        <v>132.6</v>
      </c>
      <c r="K193" s="6">
        <v>123.5</v>
      </c>
      <c r="L193" s="6">
        <v>113.7</v>
      </c>
      <c r="M193" s="6">
        <v>138.19999999999999</v>
      </c>
      <c r="N193" s="6">
        <v>129.6</v>
      </c>
      <c r="O193" s="6">
        <v>151.19999999999999</v>
      </c>
      <c r="P193" s="6">
        <v>137.5</v>
      </c>
      <c r="Q193" s="6">
        <v>156.9</v>
      </c>
      <c r="R193" s="6">
        <v>145.30000000000001</v>
      </c>
      <c r="S193" s="6">
        <v>136.69999999999999</v>
      </c>
      <c r="T193" s="6">
        <v>144</v>
      </c>
      <c r="U193" s="6">
        <v>142.9</v>
      </c>
      <c r="V193" s="6">
        <v>136.5</v>
      </c>
      <c r="W193" s="6">
        <v>136.6</v>
      </c>
      <c r="X193" s="6">
        <v>135.19999999999999</v>
      </c>
      <c r="Y193" s="6">
        <v>121.9</v>
      </c>
      <c r="Z193" s="6">
        <v>131.30000000000001</v>
      </c>
      <c r="AA193" s="6">
        <v>141.4</v>
      </c>
      <c r="AB193" s="6">
        <v>129.19999999999999</v>
      </c>
      <c r="AC193" s="6">
        <v>131.30000000000001</v>
      </c>
      <c r="AD193" s="6">
        <v>137.1</v>
      </c>
    </row>
    <row r="194" spans="1:30" x14ac:dyDescent="0.3">
      <c r="A194" s="5" t="s">
        <v>30</v>
      </c>
      <c r="B194" s="5">
        <v>2018</v>
      </c>
      <c r="C194" s="5" t="s">
        <v>38</v>
      </c>
      <c r="D194" s="5">
        <v>137.4</v>
      </c>
      <c r="E194" s="5">
        <v>145.69999999999999</v>
      </c>
      <c r="F194" s="5">
        <v>135.5</v>
      </c>
      <c r="G194" s="5">
        <v>142.9</v>
      </c>
      <c r="H194" s="5">
        <v>123.6</v>
      </c>
      <c r="I194" s="5">
        <v>157.5</v>
      </c>
      <c r="J194" s="5">
        <v>137.80000000000001</v>
      </c>
      <c r="K194" s="5">
        <v>127.2</v>
      </c>
      <c r="L194" s="5">
        <v>111.8</v>
      </c>
      <c r="M194" s="5">
        <v>137.4</v>
      </c>
      <c r="N194" s="5">
        <v>132.19999999999999</v>
      </c>
      <c r="O194" s="5">
        <v>154.30000000000001</v>
      </c>
      <c r="P194" s="5">
        <v>139.1</v>
      </c>
      <c r="Q194" s="5">
        <v>157</v>
      </c>
      <c r="R194" s="5">
        <v>150.80000000000001</v>
      </c>
      <c r="S194" s="5">
        <v>144.1</v>
      </c>
      <c r="T194" s="5">
        <v>149.80000000000001</v>
      </c>
      <c r="U194" s="5" t="s">
        <v>32</v>
      </c>
      <c r="V194" s="5">
        <v>144.30000000000001</v>
      </c>
      <c r="W194" s="5">
        <v>141.80000000000001</v>
      </c>
      <c r="X194" s="5">
        <v>138.4</v>
      </c>
      <c r="Y194" s="5">
        <v>126.4</v>
      </c>
      <c r="Z194" s="5">
        <v>136.80000000000001</v>
      </c>
      <c r="AA194" s="5">
        <v>144.4</v>
      </c>
      <c r="AB194" s="5">
        <v>131.19999999999999</v>
      </c>
      <c r="AC194" s="5">
        <v>135.1</v>
      </c>
      <c r="AD194" s="5">
        <v>139.80000000000001</v>
      </c>
    </row>
    <row r="195" spans="1:30" x14ac:dyDescent="0.3">
      <c r="A195" s="6" t="s">
        <v>33</v>
      </c>
      <c r="B195" s="6">
        <v>2018</v>
      </c>
      <c r="C195" s="6" t="s">
        <v>38</v>
      </c>
      <c r="D195" s="6">
        <v>135</v>
      </c>
      <c r="E195" s="6">
        <v>148.19999999999999</v>
      </c>
      <c r="F195" s="6">
        <v>130.5</v>
      </c>
      <c r="G195" s="6">
        <v>140.69999999999999</v>
      </c>
      <c r="H195" s="6">
        <v>116.4</v>
      </c>
      <c r="I195" s="6">
        <v>151.30000000000001</v>
      </c>
      <c r="J195" s="6">
        <v>131.4</v>
      </c>
      <c r="K195" s="6">
        <v>112.8</v>
      </c>
      <c r="L195" s="6">
        <v>105.3</v>
      </c>
      <c r="M195" s="6">
        <v>139.6</v>
      </c>
      <c r="N195" s="6">
        <v>126.6</v>
      </c>
      <c r="O195" s="6">
        <v>148.69999999999999</v>
      </c>
      <c r="P195" s="6">
        <v>136.4</v>
      </c>
      <c r="Q195" s="6">
        <v>160.30000000000001</v>
      </c>
      <c r="R195" s="6">
        <v>138.6</v>
      </c>
      <c r="S195" s="6">
        <v>127.9</v>
      </c>
      <c r="T195" s="6">
        <v>137</v>
      </c>
      <c r="U195" s="6">
        <v>143.19999999999999</v>
      </c>
      <c r="V195" s="6">
        <v>124.7</v>
      </c>
      <c r="W195" s="6">
        <v>132.5</v>
      </c>
      <c r="X195" s="6">
        <v>132</v>
      </c>
      <c r="Y195" s="6">
        <v>119.8</v>
      </c>
      <c r="Z195" s="6">
        <v>128</v>
      </c>
      <c r="AA195" s="6">
        <v>140.4</v>
      </c>
      <c r="AB195" s="6">
        <v>128.1</v>
      </c>
      <c r="AC195" s="6">
        <v>128.9</v>
      </c>
      <c r="AD195" s="6">
        <v>135.4</v>
      </c>
    </row>
    <row r="196" spans="1:30" x14ac:dyDescent="0.3">
      <c r="A196" s="5" t="s">
        <v>34</v>
      </c>
      <c r="B196" s="5">
        <v>2018</v>
      </c>
      <c r="C196" s="5" t="s">
        <v>38</v>
      </c>
      <c r="D196" s="5">
        <v>136.6</v>
      </c>
      <c r="E196" s="5">
        <v>146.6</v>
      </c>
      <c r="F196" s="5">
        <v>133.6</v>
      </c>
      <c r="G196" s="5">
        <v>142.1</v>
      </c>
      <c r="H196" s="5">
        <v>121</v>
      </c>
      <c r="I196" s="5">
        <v>154.6</v>
      </c>
      <c r="J196" s="5">
        <v>135.6</v>
      </c>
      <c r="K196" s="5">
        <v>122.3</v>
      </c>
      <c r="L196" s="5">
        <v>109.6</v>
      </c>
      <c r="M196" s="5">
        <v>138.1</v>
      </c>
      <c r="N196" s="5">
        <v>129.9</v>
      </c>
      <c r="O196" s="5">
        <v>151.69999999999999</v>
      </c>
      <c r="P196" s="5">
        <v>138.1</v>
      </c>
      <c r="Q196" s="5">
        <v>157.9</v>
      </c>
      <c r="R196" s="5">
        <v>146</v>
      </c>
      <c r="S196" s="5">
        <v>137.4</v>
      </c>
      <c r="T196" s="5">
        <v>144.69999999999999</v>
      </c>
      <c r="U196" s="5">
        <v>143.19999999999999</v>
      </c>
      <c r="V196" s="5">
        <v>136.9</v>
      </c>
      <c r="W196" s="5">
        <v>137.4</v>
      </c>
      <c r="X196" s="5">
        <v>136</v>
      </c>
      <c r="Y196" s="5">
        <v>122.9</v>
      </c>
      <c r="Z196" s="5">
        <v>131.80000000000001</v>
      </c>
      <c r="AA196" s="5">
        <v>142.1</v>
      </c>
      <c r="AB196" s="5">
        <v>129.9</v>
      </c>
      <c r="AC196" s="5">
        <v>132.1</v>
      </c>
      <c r="AD196" s="5">
        <v>137.80000000000001</v>
      </c>
    </row>
    <row r="197" spans="1:30" x14ac:dyDescent="0.3">
      <c r="A197" s="6" t="s">
        <v>30</v>
      </c>
      <c r="B197" s="6">
        <v>2018</v>
      </c>
      <c r="C197" s="6" t="s">
        <v>39</v>
      </c>
      <c r="D197" s="6">
        <v>137.6</v>
      </c>
      <c r="E197" s="6">
        <v>148.1</v>
      </c>
      <c r="F197" s="6">
        <v>136.69999999999999</v>
      </c>
      <c r="G197" s="6">
        <v>143.19999999999999</v>
      </c>
      <c r="H197" s="6">
        <v>124</v>
      </c>
      <c r="I197" s="6">
        <v>154.1</v>
      </c>
      <c r="J197" s="6">
        <v>143.5</v>
      </c>
      <c r="K197" s="6">
        <v>126</v>
      </c>
      <c r="L197" s="6">
        <v>112.4</v>
      </c>
      <c r="M197" s="6">
        <v>137.6</v>
      </c>
      <c r="N197" s="6">
        <v>132.80000000000001</v>
      </c>
      <c r="O197" s="6">
        <v>154.30000000000001</v>
      </c>
      <c r="P197" s="6">
        <v>140</v>
      </c>
      <c r="Q197" s="6">
        <v>157.30000000000001</v>
      </c>
      <c r="R197" s="6">
        <v>151.30000000000001</v>
      </c>
      <c r="S197" s="6">
        <v>144.69999999999999</v>
      </c>
      <c r="T197" s="6">
        <v>150.30000000000001</v>
      </c>
      <c r="U197" s="6" t="s">
        <v>32</v>
      </c>
      <c r="V197" s="6">
        <v>145.1</v>
      </c>
      <c r="W197" s="6">
        <v>142.19999999999999</v>
      </c>
      <c r="X197" s="6">
        <v>138.4</v>
      </c>
      <c r="Y197" s="6">
        <v>127.4</v>
      </c>
      <c r="Z197" s="6">
        <v>137.80000000000001</v>
      </c>
      <c r="AA197" s="6">
        <v>145.1</v>
      </c>
      <c r="AB197" s="6">
        <v>131.4</v>
      </c>
      <c r="AC197" s="6">
        <v>135.6</v>
      </c>
      <c r="AD197" s="6">
        <v>140.5</v>
      </c>
    </row>
    <row r="198" spans="1:30" x14ac:dyDescent="0.3">
      <c r="A198" s="5" t="s">
        <v>33</v>
      </c>
      <c r="B198" s="5">
        <v>2018</v>
      </c>
      <c r="C198" s="5" t="s">
        <v>39</v>
      </c>
      <c r="D198" s="5">
        <v>135.30000000000001</v>
      </c>
      <c r="E198" s="5">
        <v>149.69999999999999</v>
      </c>
      <c r="F198" s="5">
        <v>133.9</v>
      </c>
      <c r="G198" s="5">
        <v>140.80000000000001</v>
      </c>
      <c r="H198" s="5">
        <v>116.6</v>
      </c>
      <c r="I198" s="5">
        <v>152.19999999999999</v>
      </c>
      <c r="J198" s="5">
        <v>144</v>
      </c>
      <c r="K198" s="5">
        <v>112.3</v>
      </c>
      <c r="L198" s="5">
        <v>108.4</v>
      </c>
      <c r="M198" s="5">
        <v>140</v>
      </c>
      <c r="N198" s="5">
        <v>126.7</v>
      </c>
      <c r="O198" s="5">
        <v>149</v>
      </c>
      <c r="P198" s="5">
        <v>138.4</v>
      </c>
      <c r="Q198" s="5">
        <v>161</v>
      </c>
      <c r="R198" s="5">
        <v>138.9</v>
      </c>
      <c r="S198" s="5">
        <v>128.69999999999999</v>
      </c>
      <c r="T198" s="5">
        <v>137.4</v>
      </c>
      <c r="U198" s="5">
        <v>142.5</v>
      </c>
      <c r="V198" s="5">
        <v>126.5</v>
      </c>
      <c r="W198" s="5">
        <v>133.1</v>
      </c>
      <c r="X198" s="5">
        <v>132.6</v>
      </c>
      <c r="Y198" s="5">
        <v>120.4</v>
      </c>
      <c r="Z198" s="5">
        <v>128.5</v>
      </c>
      <c r="AA198" s="5">
        <v>141.19999999999999</v>
      </c>
      <c r="AB198" s="5">
        <v>128.19999999999999</v>
      </c>
      <c r="AC198" s="5">
        <v>129.5</v>
      </c>
      <c r="AD198" s="5">
        <v>136.19999999999999</v>
      </c>
    </row>
    <row r="199" spans="1:30" x14ac:dyDescent="0.3">
      <c r="A199" s="6" t="s">
        <v>34</v>
      </c>
      <c r="B199" s="6">
        <v>2018</v>
      </c>
      <c r="C199" s="6" t="s">
        <v>39</v>
      </c>
      <c r="D199" s="6">
        <v>136.9</v>
      </c>
      <c r="E199" s="6">
        <v>148.69999999999999</v>
      </c>
      <c r="F199" s="6">
        <v>135.6</v>
      </c>
      <c r="G199" s="6">
        <v>142.30000000000001</v>
      </c>
      <c r="H199" s="6">
        <v>121.3</v>
      </c>
      <c r="I199" s="6">
        <v>153.19999999999999</v>
      </c>
      <c r="J199" s="6">
        <v>143.69999999999999</v>
      </c>
      <c r="K199" s="6">
        <v>121.4</v>
      </c>
      <c r="L199" s="6">
        <v>111.1</v>
      </c>
      <c r="M199" s="6">
        <v>138.4</v>
      </c>
      <c r="N199" s="6">
        <v>130.30000000000001</v>
      </c>
      <c r="O199" s="6">
        <v>151.80000000000001</v>
      </c>
      <c r="P199" s="6">
        <v>139.4</v>
      </c>
      <c r="Q199" s="6">
        <v>158.30000000000001</v>
      </c>
      <c r="R199" s="6">
        <v>146.4</v>
      </c>
      <c r="S199" s="6">
        <v>138.1</v>
      </c>
      <c r="T199" s="6">
        <v>145.19999999999999</v>
      </c>
      <c r="U199" s="6">
        <v>142.5</v>
      </c>
      <c r="V199" s="6">
        <v>138.1</v>
      </c>
      <c r="W199" s="6">
        <v>137.9</v>
      </c>
      <c r="X199" s="6">
        <v>136.19999999999999</v>
      </c>
      <c r="Y199" s="6">
        <v>123.7</v>
      </c>
      <c r="Z199" s="6">
        <v>132.6</v>
      </c>
      <c r="AA199" s="6">
        <v>142.80000000000001</v>
      </c>
      <c r="AB199" s="6">
        <v>130.1</v>
      </c>
      <c r="AC199" s="6">
        <v>132.6</v>
      </c>
      <c r="AD199" s="6">
        <v>138.5</v>
      </c>
    </row>
    <row r="200" spans="1:30" x14ac:dyDescent="0.3">
      <c r="A200" s="5" t="s">
        <v>30</v>
      </c>
      <c r="B200" s="5">
        <v>2018</v>
      </c>
      <c r="C200" s="5" t="s">
        <v>40</v>
      </c>
      <c r="D200" s="5">
        <v>138.4</v>
      </c>
      <c r="E200" s="5">
        <v>149.30000000000001</v>
      </c>
      <c r="F200" s="5">
        <v>139.30000000000001</v>
      </c>
      <c r="G200" s="5">
        <v>143.4</v>
      </c>
      <c r="H200" s="5">
        <v>124.1</v>
      </c>
      <c r="I200" s="5">
        <v>153.30000000000001</v>
      </c>
      <c r="J200" s="5">
        <v>154.19999999999999</v>
      </c>
      <c r="K200" s="5">
        <v>126.4</v>
      </c>
      <c r="L200" s="5">
        <v>114.3</v>
      </c>
      <c r="M200" s="5">
        <v>138.19999999999999</v>
      </c>
      <c r="N200" s="5">
        <v>132.80000000000001</v>
      </c>
      <c r="O200" s="5">
        <v>154.80000000000001</v>
      </c>
      <c r="P200" s="5">
        <v>142</v>
      </c>
      <c r="Q200" s="5">
        <v>156.1</v>
      </c>
      <c r="R200" s="5">
        <v>151.5</v>
      </c>
      <c r="S200" s="5">
        <v>145.1</v>
      </c>
      <c r="T200" s="5">
        <v>150.6</v>
      </c>
      <c r="U200" s="5" t="s">
        <v>32</v>
      </c>
      <c r="V200" s="5">
        <v>146.80000000000001</v>
      </c>
      <c r="W200" s="5">
        <v>143.1</v>
      </c>
      <c r="X200" s="5">
        <v>139</v>
      </c>
      <c r="Y200" s="5">
        <v>127.5</v>
      </c>
      <c r="Z200" s="5">
        <v>138.4</v>
      </c>
      <c r="AA200" s="5">
        <v>145.80000000000001</v>
      </c>
      <c r="AB200" s="5">
        <v>131.4</v>
      </c>
      <c r="AC200" s="5">
        <v>136</v>
      </c>
      <c r="AD200" s="5">
        <v>141.80000000000001</v>
      </c>
    </row>
    <row r="201" spans="1:30" x14ac:dyDescent="0.3">
      <c r="A201" s="6" t="s">
        <v>33</v>
      </c>
      <c r="B201" s="6">
        <v>2018</v>
      </c>
      <c r="C201" s="6" t="s">
        <v>40</v>
      </c>
      <c r="D201" s="6">
        <v>135.6</v>
      </c>
      <c r="E201" s="6">
        <v>148.6</v>
      </c>
      <c r="F201" s="6">
        <v>139.1</v>
      </c>
      <c r="G201" s="6">
        <v>141</v>
      </c>
      <c r="H201" s="6">
        <v>116.7</v>
      </c>
      <c r="I201" s="6">
        <v>149.69999999999999</v>
      </c>
      <c r="J201" s="6">
        <v>159.19999999999999</v>
      </c>
      <c r="K201" s="6">
        <v>112.6</v>
      </c>
      <c r="L201" s="6">
        <v>111.8</v>
      </c>
      <c r="M201" s="6">
        <v>140.30000000000001</v>
      </c>
      <c r="N201" s="6">
        <v>126.8</v>
      </c>
      <c r="O201" s="6">
        <v>149.4</v>
      </c>
      <c r="P201" s="6">
        <v>140.30000000000001</v>
      </c>
      <c r="Q201" s="6">
        <v>161.4</v>
      </c>
      <c r="R201" s="6">
        <v>139.6</v>
      </c>
      <c r="S201" s="6">
        <v>128.9</v>
      </c>
      <c r="T201" s="6">
        <v>137.9</v>
      </c>
      <c r="U201" s="6">
        <v>143.6</v>
      </c>
      <c r="V201" s="6">
        <v>128.1</v>
      </c>
      <c r="W201" s="6">
        <v>133.6</v>
      </c>
      <c r="X201" s="6">
        <v>133.6</v>
      </c>
      <c r="Y201" s="6">
        <v>120.1</v>
      </c>
      <c r="Z201" s="6">
        <v>129</v>
      </c>
      <c r="AA201" s="6">
        <v>144</v>
      </c>
      <c r="AB201" s="6">
        <v>128.19999999999999</v>
      </c>
      <c r="AC201" s="6">
        <v>130.19999999999999</v>
      </c>
      <c r="AD201" s="6">
        <v>137.5</v>
      </c>
    </row>
    <row r="202" spans="1:30" x14ac:dyDescent="0.3">
      <c r="A202" s="5" t="s">
        <v>34</v>
      </c>
      <c r="B202" s="5">
        <v>2018</v>
      </c>
      <c r="C202" s="5" t="s">
        <v>40</v>
      </c>
      <c r="D202" s="5">
        <v>137.5</v>
      </c>
      <c r="E202" s="5">
        <v>149.1</v>
      </c>
      <c r="F202" s="5">
        <v>139.19999999999999</v>
      </c>
      <c r="G202" s="5">
        <v>142.5</v>
      </c>
      <c r="H202" s="5">
        <v>121.4</v>
      </c>
      <c r="I202" s="5">
        <v>151.6</v>
      </c>
      <c r="J202" s="5">
        <v>155.9</v>
      </c>
      <c r="K202" s="5">
        <v>121.7</v>
      </c>
      <c r="L202" s="5">
        <v>113.5</v>
      </c>
      <c r="M202" s="5">
        <v>138.9</v>
      </c>
      <c r="N202" s="5">
        <v>130.30000000000001</v>
      </c>
      <c r="O202" s="5">
        <v>152.30000000000001</v>
      </c>
      <c r="P202" s="5">
        <v>141.4</v>
      </c>
      <c r="Q202" s="5">
        <v>157.5</v>
      </c>
      <c r="R202" s="5">
        <v>146.80000000000001</v>
      </c>
      <c r="S202" s="5">
        <v>138.4</v>
      </c>
      <c r="T202" s="5">
        <v>145.6</v>
      </c>
      <c r="U202" s="5">
        <v>143.6</v>
      </c>
      <c r="V202" s="5">
        <v>139.69999999999999</v>
      </c>
      <c r="W202" s="5">
        <v>138.6</v>
      </c>
      <c r="X202" s="5">
        <v>137</v>
      </c>
      <c r="Y202" s="5">
        <v>123.6</v>
      </c>
      <c r="Z202" s="5">
        <v>133.1</v>
      </c>
      <c r="AA202" s="5">
        <v>144.69999999999999</v>
      </c>
      <c r="AB202" s="5">
        <v>130.1</v>
      </c>
      <c r="AC202" s="5">
        <v>133.19999999999999</v>
      </c>
      <c r="AD202" s="5">
        <v>139.80000000000001</v>
      </c>
    </row>
    <row r="203" spans="1:30" x14ac:dyDescent="0.3">
      <c r="A203" s="6" t="s">
        <v>30</v>
      </c>
      <c r="B203" s="6">
        <v>2018</v>
      </c>
      <c r="C203" s="6" t="s">
        <v>41</v>
      </c>
      <c r="D203" s="6">
        <v>139.19999999999999</v>
      </c>
      <c r="E203" s="6">
        <v>148.80000000000001</v>
      </c>
      <c r="F203" s="6">
        <v>139.1</v>
      </c>
      <c r="G203" s="6">
        <v>143.5</v>
      </c>
      <c r="H203" s="6">
        <v>125</v>
      </c>
      <c r="I203" s="6">
        <v>154.4</v>
      </c>
      <c r="J203" s="6">
        <v>156.30000000000001</v>
      </c>
      <c r="K203" s="6">
        <v>126.8</v>
      </c>
      <c r="L203" s="6">
        <v>115.4</v>
      </c>
      <c r="M203" s="6">
        <v>138.6</v>
      </c>
      <c r="N203" s="6">
        <v>133.80000000000001</v>
      </c>
      <c r="O203" s="6">
        <v>155.19999999999999</v>
      </c>
      <c r="P203" s="6">
        <v>142.69999999999999</v>
      </c>
      <c r="Q203" s="6">
        <v>156.4</v>
      </c>
      <c r="R203" s="6">
        <v>152.1</v>
      </c>
      <c r="S203" s="6">
        <v>145.80000000000001</v>
      </c>
      <c r="T203" s="6">
        <v>151.30000000000001</v>
      </c>
      <c r="U203" s="6" t="s">
        <v>32</v>
      </c>
      <c r="V203" s="6">
        <v>147.69999999999999</v>
      </c>
      <c r="W203" s="6">
        <v>143.80000000000001</v>
      </c>
      <c r="X203" s="6">
        <v>139.4</v>
      </c>
      <c r="Y203" s="6">
        <v>128.30000000000001</v>
      </c>
      <c r="Z203" s="6">
        <v>138.6</v>
      </c>
      <c r="AA203" s="6">
        <v>146.9</v>
      </c>
      <c r="AB203" s="6">
        <v>131.30000000000001</v>
      </c>
      <c r="AC203" s="6">
        <v>136.6</v>
      </c>
      <c r="AD203" s="6">
        <v>142.5</v>
      </c>
    </row>
    <row r="204" spans="1:30" x14ac:dyDescent="0.3">
      <c r="A204" s="5" t="s">
        <v>33</v>
      </c>
      <c r="B204" s="5">
        <v>2018</v>
      </c>
      <c r="C204" s="5" t="s">
        <v>41</v>
      </c>
      <c r="D204" s="5">
        <v>136.5</v>
      </c>
      <c r="E204" s="5">
        <v>146.4</v>
      </c>
      <c r="F204" s="5">
        <v>136.6</v>
      </c>
      <c r="G204" s="5">
        <v>141.19999999999999</v>
      </c>
      <c r="H204" s="5">
        <v>117.4</v>
      </c>
      <c r="I204" s="5">
        <v>146.30000000000001</v>
      </c>
      <c r="J204" s="5">
        <v>157.30000000000001</v>
      </c>
      <c r="K204" s="5">
        <v>113.6</v>
      </c>
      <c r="L204" s="5">
        <v>113.3</v>
      </c>
      <c r="M204" s="5">
        <v>141.1</v>
      </c>
      <c r="N204" s="5">
        <v>127.4</v>
      </c>
      <c r="O204" s="5">
        <v>150.4</v>
      </c>
      <c r="P204" s="5">
        <v>140.1</v>
      </c>
      <c r="Q204" s="5">
        <v>162.1</v>
      </c>
      <c r="R204" s="5">
        <v>140</v>
      </c>
      <c r="S204" s="5">
        <v>129</v>
      </c>
      <c r="T204" s="5">
        <v>138.30000000000001</v>
      </c>
      <c r="U204" s="5">
        <v>144.6</v>
      </c>
      <c r="V204" s="5">
        <v>129.80000000000001</v>
      </c>
      <c r="W204" s="5">
        <v>134.4</v>
      </c>
      <c r="X204" s="5">
        <v>134.9</v>
      </c>
      <c r="Y204" s="5">
        <v>120.7</v>
      </c>
      <c r="Z204" s="5">
        <v>129.80000000000001</v>
      </c>
      <c r="AA204" s="5">
        <v>145.30000000000001</v>
      </c>
      <c r="AB204" s="5">
        <v>128.30000000000001</v>
      </c>
      <c r="AC204" s="5">
        <v>131</v>
      </c>
      <c r="AD204" s="5">
        <v>138</v>
      </c>
    </row>
    <row r="205" spans="1:30" x14ac:dyDescent="0.3">
      <c r="A205" s="6" t="s">
        <v>34</v>
      </c>
      <c r="B205" s="6">
        <v>2018</v>
      </c>
      <c r="C205" s="6" t="s">
        <v>41</v>
      </c>
      <c r="D205" s="6">
        <v>138.30000000000001</v>
      </c>
      <c r="E205" s="6">
        <v>148</v>
      </c>
      <c r="F205" s="6">
        <v>138.1</v>
      </c>
      <c r="G205" s="6">
        <v>142.6</v>
      </c>
      <c r="H205" s="6">
        <v>122.2</v>
      </c>
      <c r="I205" s="6">
        <v>150.6</v>
      </c>
      <c r="J205" s="6">
        <v>156.6</v>
      </c>
      <c r="K205" s="6">
        <v>122.4</v>
      </c>
      <c r="L205" s="6">
        <v>114.7</v>
      </c>
      <c r="M205" s="6">
        <v>139.4</v>
      </c>
      <c r="N205" s="6">
        <v>131.1</v>
      </c>
      <c r="O205" s="6">
        <v>153</v>
      </c>
      <c r="P205" s="6">
        <v>141.69999999999999</v>
      </c>
      <c r="Q205" s="6">
        <v>157.9</v>
      </c>
      <c r="R205" s="6">
        <v>147.30000000000001</v>
      </c>
      <c r="S205" s="6">
        <v>138.80000000000001</v>
      </c>
      <c r="T205" s="6">
        <v>146.1</v>
      </c>
      <c r="U205" s="6">
        <v>144.6</v>
      </c>
      <c r="V205" s="6">
        <v>140.9</v>
      </c>
      <c r="W205" s="6">
        <v>139.4</v>
      </c>
      <c r="X205" s="6">
        <v>137.69999999999999</v>
      </c>
      <c r="Y205" s="6">
        <v>124.3</v>
      </c>
      <c r="Z205" s="6">
        <v>133.6</v>
      </c>
      <c r="AA205" s="6">
        <v>146</v>
      </c>
      <c r="AB205" s="6">
        <v>130.1</v>
      </c>
      <c r="AC205" s="6">
        <v>133.9</v>
      </c>
      <c r="AD205" s="6">
        <v>140.4</v>
      </c>
    </row>
    <row r="206" spans="1:30" x14ac:dyDescent="0.3">
      <c r="A206" s="5" t="s">
        <v>30</v>
      </c>
      <c r="B206" s="5">
        <v>2018</v>
      </c>
      <c r="C206" s="5" t="s">
        <v>42</v>
      </c>
      <c r="D206" s="5">
        <v>139.4</v>
      </c>
      <c r="E206" s="5">
        <v>147.19999999999999</v>
      </c>
      <c r="F206" s="5">
        <v>136.6</v>
      </c>
      <c r="G206" s="5">
        <v>143.69999999999999</v>
      </c>
      <c r="H206" s="5">
        <v>124.6</v>
      </c>
      <c r="I206" s="5">
        <v>150.1</v>
      </c>
      <c r="J206" s="5">
        <v>149.4</v>
      </c>
      <c r="K206" s="5">
        <v>125.4</v>
      </c>
      <c r="L206" s="5">
        <v>114.4</v>
      </c>
      <c r="M206" s="5">
        <v>138.69999999999999</v>
      </c>
      <c r="N206" s="5">
        <v>133.1</v>
      </c>
      <c r="O206" s="5">
        <v>155.9</v>
      </c>
      <c r="P206" s="5">
        <v>141.30000000000001</v>
      </c>
      <c r="Q206" s="5">
        <v>157.69999999999999</v>
      </c>
      <c r="R206" s="5">
        <v>152.1</v>
      </c>
      <c r="S206" s="5">
        <v>146.1</v>
      </c>
      <c r="T206" s="5">
        <v>151.30000000000001</v>
      </c>
      <c r="U206" s="5" t="s">
        <v>32</v>
      </c>
      <c r="V206" s="5">
        <v>149</v>
      </c>
      <c r="W206" s="5">
        <v>144</v>
      </c>
      <c r="X206" s="5">
        <v>140</v>
      </c>
      <c r="Y206" s="5">
        <v>129.9</v>
      </c>
      <c r="Z206" s="5">
        <v>140</v>
      </c>
      <c r="AA206" s="5">
        <v>147.6</v>
      </c>
      <c r="AB206" s="5">
        <v>132</v>
      </c>
      <c r="AC206" s="5">
        <v>137.4</v>
      </c>
      <c r="AD206" s="5">
        <v>142.1</v>
      </c>
    </row>
    <row r="207" spans="1:30" x14ac:dyDescent="0.3">
      <c r="A207" s="6" t="s">
        <v>33</v>
      </c>
      <c r="B207" s="6">
        <v>2018</v>
      </c>
      <c r="C207" s="6" t="s">
        <v>42</v>
      </c>
      <c r="D207" s="6">
        <v>137</v>
      </c>
      <c r="E207" s="6">
        <v>143.1</v>
      </c>
      <c r="F207" s="6">
        <v>132.80000000000001</v>
      </c>
      <c r="G207" s="6">
        <v>141.5</v>
      </c>
      <c r="H207" s="6">
        <v>117.8</v>
      </c>
      <c r="I207" s="6">
        <v>140</v>
      </c>
      <c r="J207" s="6">
        <v>151.30000000000001</v>
      </c>
      <c r="K207" s="6">
        <v>113.5</v>
      </c>
      <c r="L207" s="6">
        <v>112.3</v>
      </c>
      <c r="M207" s="6">
        <v>141.19999999999999</v>
      </c>
      <c r="N207" s="6">
        <v>127.7</v>
      </c>
      <c r="O207" s="6">
        <v>151.30000000000001</v>
      </c>
      <c r="P207" s="6">
        <v>138.9</v>
      </c>
      <c r="Q207" s="6">
        <v>163.30000000000001</v>
      </c>
      <c r="R207" s="6">
        <v>140.80000000000001</v>
      </c>
      <c r="S207" s="6">
        <v>129.30000000000001</v>
      </c>
      <c r="T207" s="6">
        <v>139.1</v>
      </c>
      <c r="U207" s="6">
        <v>145.30000000000001</v>
      </c>
      <c r="V207" s="6">
        <v>131.19999999999999</v>
      </c>
      <c r="W207" s="6">
        <v>134.9</v>
      </c>
      <c r="X207" s="6">
        <v>135.69999999999999</v>
      </c>
      <c r="Y207" s="6">
        <v>122.5</v>
      </c>
      <c r="Z207" s="6">
        <v>130.19999999999999</v>
      </c>
      <c r="AA207" s="6">
        <v>145.19999999999999</v>
      </c>
      <c r="AB207" s="6">
        <v>129.30000000000001</v>
      </c>
      <c r="AC207" s="6">
        <v>131.9</v>
      </c>
      <c r="AD207" s="6">
        <v>138.1</v>
      </c>
    </row>
    <row r="208" spans="1:30" x14ac:dyDescent="0.3">
      <c r="A208" s="5" t="s">
        <v>34</v>
      </c>
      <c r="B208" s="5">
        <v>2018</v>
      </c>
      <c r="C208" s="5" t="s">
        <v>42</v>
      </c>
      <c r="D208" s="5">
        <v>138.6</v>
      </c>
      <c r="E208" s="5">
        <v>145.80000000000001</v>
      </c>
      <c r="F208" s="5">
        <v>135.1</v>
      </c>
      <c r="G208" s="5">
        <v>142.9</v>
      </c>
      <c r="H208" s="5">
        <v>122.1</v>
      </c>
      <c r="I208" s="5">
        <v>145.4</v>
      </c>
      <c r="J208" s="5">
        <v>150</v>
      </c>
      <c r="K208" s="5">
        <v>121.4</v>
      </c>
      <c r="L208" s="5">
        <v>113.7</v>
      </c>
      <c r="M208" s="5">
        <v>139.5</v>
      </c>
      <c r="N208" s="5">
        <v>130.80000000000001</v>
      </c>
      <c r="O208" s="5">
        <v>153.80000000000001</v>
      </c>
      <c r="P208" s="5">
        <v>140.4</v>
      </c>
      <c r="Q208" s="5">
        <v>159.19999999999999</v>
      </c>
      <c r="R208" s="5">
        <v>147.69999999999999</v>
      </c>
      <c r="S208" s="5">
        <v>139.1</v>
      </c>
      <c r="T208" s="5">
        <v>146.5</v>
      </c>
      <c r="U208" s="5">
        <v>145.30000000000001</v>
      </c>
      <c r="V208" s="5">
        <v>142.30000000000001</v>
      </c>
      <c r="W208" s="5">
        <v>139.69999999999999</v>
      </c>
      <c r="X208" s="5">
        <v>138.4</v>
      </c>
      <c r="Y208" s="5">
        <v>126</v>
      </c>
      <c r="Z208" s="5">
        <v>134.5</v>
      </c>
      <c r="AA208" s="5">
        <v>146.19999999999999</v>
      </c>
      <c r="AB208" s="5">
        <v>130.9</v>
      </c>
      <c r="AC208" s="5">
        <v>134.69999999999999</v>
      </c>
      <c r="AD208" s="5">
        <v>140.19999999999999</v>
      </c>
    </row>
    <row r="209" spans="1:30" x14ac:dyDescent="0.3">
      <c r="A209" s="6" t="s">
        <v>30</v>
      </c>
      <c r="B209" s="6">
        <v>2018</v>
      </c>
      <c r="C209" s="6" t="s">
        <v>43</v>
      </c>
      <c r="D209" s="6">
        <v>139.30000000000001</v>
      </c>
      <c r="E209" s="6">
        <v>147.6</v>
      </c>
      <c r="F209" s="6">
        <v>134.6</v>
      </c>
      <c r="G209" s="6">
        <v>141.9</v>
      </c>
      <c r="H209" s="6">
        <v>123.5</v>
      </c>
      <c r="I209" s="6">
        <v>144.5</v>
      </c>
      <c r="J209" s="6">
        <v>147.6</v>
      </c>
      <c r="K209" s="6">
        <v>121.4</v>
      </c>
      <c r="L209" s="6">
        <v>112.3</v>
      </c>
      <c r="M209" s="6">
        <v>139.5</v>
      </c>
      <c r="N209" s="6">
        <v>134.6</v>
      </c>
      <c r="O209" s="6">
        <v>155.19999999999999</v>
      </c>
      <c r="P209" s="6">
        <v>140.19999999999999</v>
      </c>
      <c r="Q209" s="6">
        <v>159.6</v>
      </c>
      <c r="R209" s="6">
        <v>150.69999999999999</v>
      </c>
      <c r="S209" s="6">
        <v>144.5</v>
      </c>
      <c r="T209" s="6">
        <v>149.80000000000001</v>
      </c>
      <c r="U209" s="6" t="s">
        <v>32</v>
      </c>
      <c r="V209" s="6">
        <v>149.69999999999999</v>
      </c>
      <c r="W209" s="6">
        <v>147.5</v>
      </c>
      <c r="X209" s="6">
        <v>144.80000000000001</v>
      </c>
      <c r="Y209" s="6">
        <v>130.80000000000001</v>
      </c>
      <c r="Z209" s="6">
        <v>140.1</v>
      </c>
      <c r="AA209" s="6">
        <v>148</v>
      </c>
      <c r="AB209" s="6">
        <v>134.4</v>
      </c>
      <c r="AC209" s="6">
        <v>139.80000000000001</v>
      </c>
      <c r="AD209" s="6">
        <v>142.19999999999999</v>
      </c>
    </row>
    <row r="210" spans="1:30" x14ac:dyDescent="0.3">
      <c r="A210" s="5" t="s">
        <v>33</v>
      </c>
      <c r="B210" s="5">
        <v>2018</v>
      </c>
      <c r="C210" s="5" t="s">
        <v>43</v>
      </c>
      <c r="D210" s="5">
        <v>137.6</v>
      </c>
      <c r="E210" s="5">
        <v>144.9</v>
      </c>
      <c r="F210" s="5">
        <v>133.5</v>
      </c>
      <c r="G210" s="5">
        <v>141.5</v>
      </c>
      <c r="H210" s="5">
        <v>118</v>
      </c>
      <c r="I210" s="5">
        <v>139.5</v>
      </c>
      <c r="J210" s="5">
        <v>153</v>
      </c>
      <c r="K210" s="5">
        <v>113.2</v>
      </c>
      <c r="L210" s="5">
        <v>112.8</v>
      </c>
      <c r="M210" s="5">
        <v>141.1</v>
      </c>
      <c r="N210" s="5">
        <v>127.6</v>
      </c>
      <c r="O210" s="5">
        <v>152</v>
      </c>
      <c r="P210" s="5">
        <v>139.4</v>
      </c>
      <c r="Q210" s="5">
        <v>164</v>
      </c>
      <c r="R210" s="5">
        <v>141.5</v>
      </c>
      <c r="S210" s="5">
        <v>129.80000000000001</v>
      </c>
      <c r="T210" s="5">
        <v>139.69999999999999</v>
      </c>
      <c r="U210" s="5">
        <v>146.30000000000001</v>
      </c>
      <c r="V210" s="5">
        <v>133.4</v>
      </c>
      <c r="W210" s="5">
        <v>135.1</v>
      </c>
      <c r="X210" s="5">
        <v>136.19999999999999</v>
      </c>
      <c r="Y210" s="5">
        <v>123.3</v>
      </c>
      <c r="Z210" s="5">
        <v>130.69999999999999</v>
      </c>
      <c r="AA210" s="5">
        <v>145.5</v>
      </c>
      <c r="AB210" s="5">
        <v>130.4</v>
      </c>
      <c r="AC210" s="5">
        <v>132.5</v>
      </c>
      <c r="AD210" s="5">
        <v>138.9</v>
      </c>
    </row>
    <row r="211" spans="1:30" x14ac:dyDescent="0.3">
      <c r="A211" s="6" t="s">
        <v>34</v>
      </c>
      <c r="B211" s="6">
        <v>2018</v>
      </c>
      <c r="C211" s="6" t="s">
        <v>43</v>
      </c>
      <c r="D211" s="6">
        <v>137.4</v>
      </c>
      <c r="E211" s="6">
        <v>149.5</v>
      </c>
      <c r="F211" s="6">
        <v>137.30000000000001</v>
      </c>
      <c r="G211" s="6">
        <v>141.9</v>
      </c>
      <c r="H211" s="6">
        <v>121.1</v>
      </c>
      <c r="I211" s="6">
        <v>142.5</v>
      </c>
      <c r="J211" s="6">
        <v>146.69999999999999</v>
      </c>
      <c r="K211" s="6">
        <v>119.1</v>
      </c>
      <c r="L211" s="6">
        <v>111.9</v>
      </c>
      <c r="M211" s="6">
        <v>141</v>
      </c>
      <c r="N211" s="6">
        <v>133.6</v>
      </c>
      <c r="O211" s="6">
        <v>154.5</v>
      </c>
      <c r="P211" s="6">
        <v>139.69999999999999</v>
      </c>
      <c r="Q211" s="6">
        <v>162.6</v>
      </c>
      <c r="R211" s="6">
        <v>148</v>
      </c>
      <c r="S211" s="6">
        <v>139.19999999999999</v>
      </c>
      <c r="T211" s="6">
        <v>146.80000000000001</v>
      </c>
      <c r="U211" s="6">
        <v>146.9</v>
      </c>
      <c r="V211" s="6">
        <v>145.30000000000001</v>
      </c>
      <c r="W211" s="6">
        <v>142.19999999999999</v>
      </c>
      <c r="X211" s="6">
        <v>142.1</v>
      </c>
      <c r="Y211" s="6">
        <v>125.5</v>
      </c>
      <c r="Z211" s="6">
        <v>136.5</v>
      </c>
      <c r="AA211" s="6">
        <v>147.80000000000001</v>
      </c>
      <c r="AB211" s="6">
        <v>132</v>
      </c>
      <c r="AC211" s="6">
        <v>136.30000000000001</v>
      </c>
      <c r="AD211" s="6">
        <v>140.80000000000001</v>
      </c>
    </row>
    <row r="212" spans="1:30" x14ac:dyDescent="0.3">
      <c r="A212" s="5" t="s">
        <v>30</v>
      </c>
      <c r="B212" s="5">
        <v>2018</v>
      </c>
      <c r="C212" s="5" t="s">
        <v>45</v>
      </c>
      <c r="D212" s="5">
        <v>137.1</v>
      </c>
      <c r="E212" s="5">
        <v>150.80000000000001</v>
      </c>
      <c r="F212" s="5">
        <v>136.69999999999999</v>
      </c>
      <c r="G212" s="5">
        <v>141.9</v>
      </c>
      <c r="H212" s="5">
        <v>122.8</v>
      </c>
      <c r="I212" s="5">
        <v>143.9</v>
      </c>
      <c r="J212" s="5">
        <v>147.5</v>
      </c>
      <c r="K212" s="5">
        <v>121</v>
      </c>
      <c r="L212" s="5">
        <v>111.6</v>
      </c>
      <c r="M212" s="5">
        <v>140.6</v>
      </c>
      <c r="N212" s="5">
        <v>137.5</v>
      </c>
      <c r="O212" s="5">
        <v>156.1</v>
      </c>
      <c r="P212" s="5">
        <v>140</v>
      </c>
      <c r="Q212" s="5">
        <v>161.9</v>
      </c>
      <c r="R212" s="5">
        <v>151.69999999999999</v>
      </c>
      <c r="S212" s="5">
        <v>145.5</v>
      </c>
      <c r="T212" s="5">
        <v>150.80000000000001</v>
      </c>
      <c r="U212" s="5" t="s">
        <v>32</v>
      </c>
      <c r="V212" s="5">
        <v>150.30000000000001</v>
      </c>
      <c r="W212" s="5">
        <v>148</v>
      </c>
      <c r="X212" s="5">
        <v>145.4</v>
      </c>
      <c r="Y212" s="5">
        <v>130.30000000000001</v>
      </c>
      <c r="Z212" s="5">
        <v>143.1</v>
      </c>
      <c r="AA212" s="5">
        <v>150.19999999999999</v>
      </c>
      <c r="AB212" s="5">
        <v>133.1</v>
      </c>
      <c r="AC212" s="5">
        <v>140.1</v>
      </c>
      <c r="AD212" s="5">
        <v>142.4</v>
      </c>
    </row>
    <row r="213" spans="1:30" x14ac:dyDescent="0.3">
      <c r="A213" s="6" t="s">
        <v>33</v>
      </c>
      <c r="B213" s="6">
        <v>2018</v>
      </c>
      <c r="C213" s="6" t="s">
        <v>45</v>
      </c>
      <c r="D213" s="6">
        <v>138.1</v>
      </c>
      <c r="E213" s="6">
        <v>146.30000000000001</v>
      </c>
      <c r="F213" s="6">
        <v>137.80000000000001</v>
      </c>
      <c r="G213" s="6">
        <v>141.6</v>
      </c>
      <c r="H213" s="6">
        <v>118.1</v>
      </c>
      <c r="I213" s="6">
        <v>141.5</v>
      </c>
      <c r="J213" s="6">
        <v>145.19999999999999</v>
      </c>
      <c r="K213" s="6">
        <v>115.3</v>
      </c>
      <c r="L213" s="6">
        <v>112.5</v>
      </c>
      <c r="M213" s="6">
        <v>141.4</v>
      </c>
      <c r="N213" s="6">
        <v>128</v>
      </c>
      <c r="O213" s="6">
        <v>152.6</v>
      </c>
      <c r="P213" s="6">
        <v>139.1</v>
      </c>
      <c r="Q213" s="6">
        <v>164.4</v>
      </c>
      <c r="R213" s="6">
        <v>142.4</v>
      </c>
      <c r="S213" s="6">
        <v>130.19999999999999</v>
      </c>
      <c r="T213" s="6">
        <v>140.5</v>
      </c>
      <c r="U213" s="6">
        <v>146.9</v>
      </c>
      <c r="V213" s="6">
        <v>136.69999999999999</v>
      </c>
      <c r="W213" s="6">
        <v>135.80000000000001</v>
      </c>
      <c r="X213" s="6">
        <v>136.80000000000001</v>
      </c>
      <c r="Y213" s="6">
        <v>121.2</v>
      </c>
      <c r="Z213" s="6">
        <v>131.30000000000001</v>
      </c>
      <c r="AA213" s="6">
        <v>146.1</v>
      </c>
      <c r="AB213" s="6">
        <v>130.5</v>
      </c>
      <c r="AC213" s="6">
        <v>132.19999999999999</v>
      </c>
      <c r="AD213" s="6">
        <v>139</v>
      </c>
    </row>
    <row r="214" spans="1:30" x14ac:dyDescent="0.3">
      <c r="A214" s="5" t="s">
        <v>34</v>
      </c>
      <c r="B214" s="5">
        <v>2018</v>
      </c>
      <c r="C214" s="5" t="s">
        <v>45</v>
      </c>
      <c r="D214" s="5">
        <v>137.4</v>
      </c>
      <c r="E214" s="5">
        <v>149.19999999999999</v>
      </c>
      <c r="F214" s="5">
        <v>137.1</v>
      </c>
      <c r="G214" s="5">
        <v>141.80000000000001</v>
      </c>
      <c r="H214" s="5">
        <v>121.1</v>
      </c>
      <c r="I214" s="5">
        <v>142.80000000000001</v>
      </c>
      <c r="J214" s="5">
        <v>146.69999999999999</v>
      </c>
      <c r="K214" s="5">
        <v>119.1</v>
      </c>
      <c r="L214" s="5">
        <v>111.9</v>
      </c>
      <c r="M214" s="5">
        <v>140.9</v>
      </c>
      <c r="N214" s="5">
        <v>133.5</v>
      </c>
      <c r="O214" s="5">
        <v>154.5</v>
      </c>
      <c r="P214" s="5">
        <v>139.69999999999999</v>
      </c>
      <c r="Q214" s="5">
        <v>162.6</v>
      </c>
      <c r="R214" s="5">
        <v>148</v>
      </c>
      <c r="S214" s="5">
        <v>139.1</v>
      </c>
      <c r="T214" s="5">
        <v>146.69999999999999</v>
      </c>
      <c r="U214" s="5">
        <v>146.9</v>
      </c>
      <c r="V214" s="5">
        <v>145.1</v>
      </c>
      <c r="W214" s="5">
        <v>142.19999999999999</v>
      </c>
      <c r="X214" s="5">
        <v>142.1</v>
      </c>
      <c r="Y214" s="5">
        <v>125.5</v>
      </c>
      <c r="Z214" s="5">
        <v>136.5</v>
      </c>
      <c r="AA214" s="5">
        <v>147.80000000000001</v>
      </c>
      <c r="AB214" s="5">
        <v>132</v>
      </c>
      <c r="AC214" s="5">
        <v>136.30000000000001</v>
      </c>
      <c r="AD214" s="5">
        <v>140.80000000000001</v>
      </c>
    </row>
    <row r="215" spans="1:30" x14ac:dyDescent="0.3">
      <c r="A215" s="6" t="s">
        <v>30</v>
      </c>
      <c r="B215" s="6">
        <v>2018</v>
      </c>
      <c r="C215" s="6" t="s">
        <v>46</v>
      </c>
      <c r="D215" s="6">
        <v>137.1</v>
      </c>
      <c r="E215" s="6">
        <v>151.9</v>
      </c>
      <c r="F215" s="6">
        <v>137.4</v>
      </c>
      <c r="G215" s="6">
        <v>142.4</v>
      </c>
      <c r="H215" s="6">
        <v>124.2</v>
      </c>
      <c r="I215" s="6">
        <v>140.19999999999999</v>
      </c>
      <c r="J215" s="6">
        <v>136.6</v>
      </c>
      <c r="K215" s="6">
        <v>120.9</v>
      </c>
      <c r="L215" s="6">
        <v>109.9</v>
      </c>
      <c r="M215" s="6">
        <v>140.19999999999999</v>
      </c>
      <c r="N215" s="6">
        <v>137.80000000000001</v>
      </c>
      <c r="O215" s="6">
        <v>156</v>
      </c>
      <c r="P215" s="6">
        <v>138.5</v>
      </c>
      <c r="Q215" s="6">
        <v>162.4</v>
      </c>
      <c r="R215" s="6">
        <v>151.6</v>
      </c>
      <c r="S215" s="6">
        <v>145.9</v>
      </c>
      <c r="T215" s="6">
        <v>150.80000000000001</v>
      </c>
      <c r="U215" s="6" t="s">
        <v>32</v>
      </c>
      <c r="V215" s="6">
        <v>149</v>
      </c>
      <c r="W215" s="6">
        <v>149.5</v>
      </c>
      <c r="X215" s="6">
        <v>149.6</v>
      </c>
      <c r="Y215" s="6">
        <v>128.9</v>
      </c>
      <c r="Z215" s="6">
        <v>143.30000000000001</v>
      </c>
      <c r="AA215" s="6">
        <v>155.1</v>
      </c>
      <c r="AB215" s="6">
        <v>133.19999999999999</v>
      </c>
      <c r="AC215" s="6">
        <v>141.6</v>
      </c>
      <c r="AD215" s="6">
        <v>141.9</v>
      </c>
    </row>
    <row r="216" spans="1:30" x14ac:dyDescent="0.3">
      <c r="A216" s="5" t="s">
        <v>33</v>
      </c>
      <c r="B216" s="5">
        <v>2018</v>
      </c>
      <c r="C216" s="5" t="s">
        <v>46</v>
      </c>
      <c r="D216" s="5">
        <v>138.5</v>
      </c>
      <c r="E216" s="5">
        <v>147.80000000000001</v>
      </c>
      <c r="F216" s="5">
        <v>141.1</v>
      </c>
      <c r="G216" s="5">
        <v>141.6</v>
      </c>
      <c r="H216" s="5">
        <v>118.1</v>
      </c>
      <c r="I216" s="5">
        <v>138.5</v>
      </c>
      <c r="J216" s="5">
        <v>132.4</v>
      </c>
      <c r="K216" s="5">
        <v>117.5</v>
      </c>
      <c r="L216" s="5">
        <v>111</v>
      </c>
      <c r="M216" s="5">
        <v>141.5</v>
      </c>
      <c r="N216" s="5">
        <v>128.1</v>
      </c>
      <c r="O216" s="5">
        <v>152.9</v>
      </c>
      <c r="P216" s="5">
        <v>137.6</v>
      </c>
      <c r="Q216" s="5">
        <v>164.6</v>
      </c>
      <c r="R216" s="5">
        <v>142.69999999999999</v>
      </c>
      <c r="S216" s="5">
        <v>130.30000000000001</v>
      </c>
      <c r="T216" s="5">
        <v>140.80000000000001</v>
      </c>
      <c r="U216" s="5">
        <v>146.5</v>
      </c>
      <c r="V216" s="5">
        <v>132.4</v>
      </c>
      <c r="W216" s="5">
        <v>136.19999999999999</v>
      </c>
      <c r="X216" s="5">
        <v>137.30000000000001</v>
      </c>
      <c r="Y216" s="5">
        <v>118.8</v>
      </c>
      <c r="Z216" s="5">
        <v>131.69999999999999</v>
      </c>
      <c r="AA216" s="5">
        <v>146.5</v>
      </c>
      <c r="AB216" s="5">
        <v>130.80000000000001</v>
      </c>
      <c r="AC216" s="5">
        <v>131.69999999999999</v>
      </c>
      <c r="AD216" s="5">
        <v>138</v>
      </c>
    </row>
    <row r="217" spans="1:30" x14ac:dyDescent="0.3">
      <c r="A217" s="6" t="s">
        <v>34</v>
      </c>
      <c r="B217" s="6">
        <v>2018</v>
      </c>
      <c r="C217" s="6" t="s">
        <v>46</v>
      </c>
      <c r="D217" s="6">
        <v>137.5</v>
      </c>
      <c r="E217" s="6">
        <v>150.5</v>
      </c>
      <c r="F217" s="6">
        <v>138.80000000000001</v>
      </c>
      <c r="G217" s="6">
        <v>142.1</v>
      </c>
      <c r="H217" s="6">
        <v>122</v>
      </c>
      <c r="I217" s="6">
        <v>139.4</v>
      </c>
      <c r="J217" s="6">
        <v>135.19999999999999</v>
      </c>
      <c r="K217" s="6">
        <v>119.8</v>
      </c>
      <c r="L217" s="6">
        <v>110.3</v>
      </c>
      <c r="M217" s="6">
        <v>140.6</v>
      </c>
      <c r="N217" s="6">
        <v>133.80000000000001</v>
      </c>
      <c r="O217" s="6">
        <v>154.6</v>
      </c>
      <c r="P217" s="6">
        <v>138.19999999999999</v>
      </c>
      <c r="Q217" s="6">
        <v>163</v>
      </c>
      <c r="R217" s="6">
        <v>148.1</v>
      </c>
      <c r="S217" s="6">
        <v>139.4</v>
      </c>
      <c r="T217" s="6">
        <v>146.80000000000001</v>
      </c>
      <c r="U217" s="6">
        <v>146.5</v>
      </c>
      <c r="V217" s="6">
        <v>142.69999999999999</v>
      </c>
      <c r="W217" s="6">
        <v>143.19999999999999</v>
      </c>
      <c r="X217" s="6">
        <v>144.9</v>
      </c>
      <c r="Y217" s="6">
        <v>123.6</v>
      </c>
      <c r="Z217" s="6">
        <v>136.80000000000001</v>
      </c>
      <c r="AA217" s="6">
        <v>150.1</v>
      </c>
      <c r="AB217" s="6">
        <v>132.19999999999999</v>
      </c>
      <c r="AC217" s="6">
        <v>136.80000000000001</v>
      </c>
      <c r="AD217" s="6">
        <v>140.1</v>
      </c>
    </row>
    <row r="218" spans="1:30" x14ac:dyDescent="0.3">
      <c r="A218" s="5" t="s">
        <v>30</v>
      </c>
      <c r="B218" s="5">
        <v>2019</v>
      </c>
      <c r="C218" s="5" t="s">
        <v>31</v>
      </c>
      <c r="D218" s="5">
        <v>136.6</v>
      </c>
      <c r="E218" s="5">
        <v>152.5</v>
      </c>
      <c r="F218" s="5">
        <v>138.19999999999999</v>
      </c>
      <c r="G218" s="5">
        <v>142.4</v>
      </c>
      <c r="H218" s="5">
        <v>123.9</v>
      </c>
      <c r="I218" s="5">
        <v>135.5</v>
      </c>
      <c r="J218" s="5">
        <v>131.69999999999999</v>
      </c>
      <c r="K218" s="5">
        <v>121.3</v>
      </c>
      <c r="L218" s="5">
        <v>108.4</v>
      </c>
      <c r="M218" s="5">
        <v>138.9</v>
      </c>
      <c r="N218" s="5">
        <v>137</v>
      </c>
      <c r="O218" s="5">
        <v>155.80000000000001</v>
      </c>
      <c r="P218" s="5">
        <v>137.4</v>
      </c>
      <c r="Q218" s="5">
        <v>162.69999999999999</v>
      </c>
      <c r="R218" s="5">
        <v>150.6</v>
      </c>
      <c r="S218" s="5">
        <v>145.1</v>
      </c>
      <c r="T218" s="5">
        <v>149.9</v>
      </c>
      <c r="U218" s="5" t="s">
        <v>32</v>
      </c>
      <c r="V218" s="5">
        <v>146.19999999999999</v>
      </c>
      <c r="W218" s="5">
        <v>150.1</v>
      </c>
      <c r="X218" s="5">
        <v>149.6</v>
      </c>
      <c r="Y218" s="5">
        <v>128.6</v>
      </c>
      <c r="Z218" s="5">
        <v>142.9</v>
      </c>
      <c r="AA218" s="5">
        <v>155.19999999999999</v>
      </c>
      <c r="AB218" s="5">
        <v>133.5</v>
      </c>
      <c r="AC218" s="5">
        <v>141.69999999999999</v>
      </c>
      <c r="AD218" s="5">
        <v>141</v>
      </c>
    </row>
    <row r="219" spans="1:30" x14ac:dyDescent="0.3">
      <c r="A219" s="6" t="s">
        <v>33</v>
      </c>
      <c r="B219" s="6">
        <v>2019</v>
      </c>
      <c r="C219" s="6" t="s">
        <v>31</v>
      </c>
      <c r="D219" s="6">
        <v>138.30000000000001</v>
      </c>
      <c r="E219" s="6">
        <v>149.4</v>
      </c>
      <c r="F219" s="6">
        <v>143.5</v>
      </c>
      <c r="G219" s="6">
        <v>141.69999999999999</v>
      </c>
      <c r="H219" s="6">
        <v>118.1</v>
      </c>
      <c r="I219" s="6">
        <v>135.19999999999999</v>
      </c>
      <c r="J219" s="6">
        <v>130.5</v>
      </c>
      <c r="K219" s="6">
        <v>118.2</v>
      </c>
      <c r="L219" s="6">
        <v>110.4</v>
      </c>
      <c r="M219" s="6">
        <v>140.4</v>
      </c>
      <c r="N219" s="6">
        <v>128.1</v>
      </c>
      <c r="O219" s="6">
        <v>153.19999999999999</v>
      </c>
      <c r="P219" s="6">
        <v>137.30000000000001</v>
      </c>
      <c r="Q219" s="6">
        <v>164.7</v>
      </c>
      <c r="R219" s="6">
        <v>143</v>
      </c>
      <c r="S219" s="6">
        <v>130.4</v>
      </c>
      <c r="T219" s="6">
        <v>141.1</v>
      </c>
      <c r="U219" s="6">
        <v>147.69999999999999</v>
      </c>
      <c r="V219" s="6">
        <v>128.6</v>
      </c>
      <c r="W219" s="6">
        <v>136.30000000000001</v>
      </c>
      <c r="X219" s="6">
        <v>137.80000000000001</v>
      </c>
      <c r="Y219" s="6">
        <v>118.6</v>
      </c>
      <c r="Z219" s="6">
        <v>131.9</v>
      </c>
      <c r="AA219" s="6">
        <v>146.6</v>
      </c>
      <c r="AB219" s="6">
        <v>131.69999999999999</v>
      </c>
      <c r="AC219" s="6">
        <v>131.80000000000001</v>
      </c>
      <c r="AD219" s="6">
        <v>138</v>
      </c>
    </row>
    <row r="220" spans="1:30" x14ac:dyDescent="0.3">
      <c r="A220" s="5" t="s">
        <v>34</v>
      </c>
      <c r="B220" s="5">
        <v>2019</v>
      </c>
      <c r="C220" s="5" t="s">
        <v>31</v>
      </c>
      <c r="D220" s="5">
        <v>137.1</v>
      </c>
      <c r="E220" s="5">
        <v>151.4</v>
      </c>
      <c r="F220" s="5">
        <v>140.19999999999999</v>
      </c>
      <c r="G220" s="5">
        <v>142.1</v>
      </c>
      <c r="H220" s="5">
        <v>121.8</v>
      </c>
      <c r="I220" s="5">
        <v>135.4</v>
      </c>
      <c r="J220" s="5">
        <v>131.30000000000001</v>
      </c>
      <c r="K220" s="5">
        <v>120.3</v>
      </c>
      <c r="L220" s="5">
        <v>109.1</v>
      </c>
      <c r="M220" s="5">
        <v>139.4</v>
      </c>
      <c r="N220" s="5">
        <v>133.30000000000001</v>
      </c>
      <c r="O220" s="5">
        <v>154.6</v>
      </c>
      <c r="P220" s="5">
        <v>137.4</v>
      </c>
      <c r="Q220" s="5">
        <v>163.19999999999999</v>
      </c>
      <c r="R220" s="5">
        <v>147.6</v>
      </c>
      <c r="S220" s="5">
        <v>139</v>
      </c>
      <c r="T220" s="5">
        <v>146.4</v>
      </c>
      <c r="U220" s="5">
        <v>147.69999999999999</v>
      </c>
      <c r="V220" s="5">
        <v>139.5</v>
      </c>
      <c r="W220" s="5">
        <v>143.6</v>
      </c>
      <c r="X220" s="5">
        <v>145.1</v>
      </c>
      <c r="Y220" s="5">
        <v>123.3</v>
      </c>
      <c r="Z220" s="5">
        <v>136.69999999999999</v>
      </c>
      <c r="AA220" s="5">
        <v>150.19999999999999</v>
      </c>
      <c r="AB220" s="5">
        <v>132.80000000000001</v>
      </c>
      <c r="AC220" s="5">
        <v>136.9</v>
      </c>
      <c r="AD220" s="5">
        <v>139.6</v>
      </c>
    </row>
    <row r="221" spans="1:30" x14ac:dyDescent="0.3">
      <c r="A221" s="6" t="s">
        <v>30</v>
      </c>
      <c r="B221" s="6">
        <v>2019</v>
      </c>
      <c r="C221" s="6" t="s">
        <v>35</v>
      </c>
      <c r="D221" s="6">
        <v>136.80000000000001</v>
      </c>
      <c r="E221" s="6">
        <v>153</v>
      </c>
      <c r="F221" s="6">
        <v>139.1</v>
      </c>
      <c r="G221" s="6">
        <v>142.5</v>
      </c>
      <c r="H221" s="6">
        <v>124.1</v>
      </c>
      <c r="I221" s="6">
        <v>135.80000000000001</v>
      </c>
      <c r="J221" s="6">
        <v>128.69999999999999</v>
      </c>
      <c r="K221" s="6">
        <v>121.5</v>
      </c>
      <c r="L221" s="6">
        <v>108.3</v>
      </c>
      <c r="M221" s="6">
        <v>139.19999999999999</v>
      </c>
      <c r="N221" s="6">
        <v>137.4</v>
      </c>
      <c r="O221" s="6">
        <v>156.19999999999999</v>
      </c>
      <c r="P221" s="6">
        <v>137.19999999999999</v>
      </c>
      <c r="Q221" s="6">
        <v>162.80000000000001</v>
      </c>
      <c r="R221" s="6">
        <v>150.5</v>
      </c>
      <c r="S221" s="6">
        <v>146.1</v>
      </c>
      <c r="T221" s="6">
        <v>149.9</v>
      </c>
      <c r="U221" s="6" t="s">
        <v>32</v>
      </c>
      <c r="V221" s="6">
        <v>145.30000000000001</v>
      </c>
      <c r="W221" s="6">
        <v>150.1</v>
      </c>
      <c r="X221" s="6">
        <v>149.9</v>
      </c>
      <c r="Y221" s="6">
        <v>129.19999999999999</v>
      </c>
      <c r="Z221" s="6">
        <v>143.4</v>
      </c>
      <c r="AA221" s="6">
        <v>155.5</v>
      </c>
      <c r="AB221" s="6">
        <v>134.9</v>
      </c>
      <c r="AC221" s="6">
        <v>142.19999999999999</v>
      </c>
      <c r="AD221" s="6">
        <v>141</v>
      </c>
    </row>
    <row r="222" spans="1:30" x14ac:dyDescent="0.3">
      <c r="A222" s="5" t="s">
        <v>33</v>
      </c>
      <c r="B222" s="5">
        <v>2019</v>
      </c>
      <c r="C222" s="5" t="s">
        <v>35</v>
      </c>
      <c r="D222" s="5">
        <v>139.4</v>
      </c>
      <c r="E222" s="5">
        <v>150.1</v>
      </c>
      <c r="F222" s="5">
        <v>145.30000000000001</v>
      </c>
      <c r="G222" s="5">
        <v>141.69999999999999</v>
      </c>
      <c r="H222" s="5">
        <v>118.4</v>
      </c>
      <c r="I222" s="5">
        <v>137</v>
      </c>
      <c r="J222" s="5">
        <v>131.6</v>
      </c>
      <c r="K222" s="5">
        <v>119.9</v>
      </c>
      <c r="L222" s="5">
        <v>110.4</v>
      </c>
      <c r="M222" s="5">
        <v>140.80000000000001</v>
      </c>
      <c r="N222" s="5">
        <v>128.30000000000001</v>
      </c>
      <c r="O222" s="5">
        <v>153.5</v>
      </c>
      <c r="P222" s="5">
        <v>138</v>
      </c>
      <c r="Q222" s="5">
        <v>164.9</v>
      </c>
      <c r="R222" s="5">
        <v>143.30000000000001</v>
      </c>
      <c r="S222" s="5">
        <v>130.80000000000001</v>
      </c>
      <c r="T222" s="5">
        <v>141.4</v>
      </c>
      <c r="U222" s="5">
        <v>148.5</v>
      </c>
      <c r="V222" s="5">
        <v>127.1</v>
      </c>
      <c r="W222" s="5">
        <v>136.6</v>
      </c>
      <c r="X222" s="5">
        <v>138.5</v>
      </c>
      <c r="Y222" s="5">
        <v>119.2</v>
      </c>
      <c r="Z222" s="5">
        <v>132.19999999999999</v>
      </c>
      <c r="AA222" s="5">
        <v>146.6</v>
      </c>
      <c r="AB222" s="5">
        <v>133</v>
      </c>
      <c r="AC222" s="5">
        <v>132.4</v>
      </c>
      <c r="AD222" s="5">
        <v>138.6</v>
      </c>
    </row>
    <row r="223" spans="1:30" x14ac:dyDescent="0.3">
      <c r="A223" s="6" t="s">
        <v>34</v>
      </c>
      <c r="B223" s="6">
        <v>2019</v>
      </c>
      <c r="C223" s="6" t="s">
        <v>35</v>
      </c>
      <c r="D223" s="6">
        <v>137.6</v>
      </c>
      <c r="E223" s="6">
        <v>152</v>
      </c>
      <c r="F223" s="6">
        <v>141.5</v>
      </c>
      <c r="G223" s="6">
        <v>142.19999999999999</v>
      </c>
      <c r="H223" s="6">
        <v>122</v>
      </c>
      <c r="I223" s="6">
        <v>136.4</v>
      </c>
      <c r="J223" s="6">
        <v>129.69999999999999</v>
      </c>
      <c r="K223" s="6">
        <v>121</v>
      </c>
      <c r="L223" s="6">
        <v>109</v>
      </c>
      <c r="M223" s="6">
        <v>139.69999999999999</v>
      </c>
      <c r="N223" s="6">
        <v>133.6</v>
      </c>
      <c r="O223" s="6">
        <v>154.9</v>
      </c>
      <c r="P223" s="6">
        <v>137.5</v>
      </c>
      <c r="Q223" s="6">
        <v>163.4</v>
      </c>
      <c r="R223" s="6">
        <v>147.69999999999999</v>
      </c>
      <c r="S223" s="6">
        <v>139.69999999999999</v>
      </c>
      <c r="T223" s="6">
        <v>146.5</v>
      </c>
      <c r="U223" s="6">
        <v>148.5</v>
      </c>
      <c r="V223" s="6">
        <v>138.4</v>
      </c>
      <c r="W223" s="6">
        <v>143.69999999999999</v>
      </c>
      <c r="X223" s="6">
        <v>145.6</v>
      </c>
      <c r="Y223" s="6">
        <v>123.9</v>
      </c>
      <c r="Z223" s="6">
        <v>137.1</v>
      </c>
      <c r="AA223" s="6">
        <v>150.30000000000001</v>
      </c>
      <c r="AB223" s="6">
        <v>134.1</v>
      </c>
      <c r="AC223" s="6">
        <v>137.4</v>
      </c>
      <c r="AD223" s="6">
        <v>139.9</v>
      </c>
    </row>
    <row r="224" spans="1:30" x14ac:dyDescent="0.3">
      <c r="A224" s="5" t="s">
        <v>30</v>
      </c>
      <c r="B224" s="5">
        <v>2019</v>
      </c>
      <c r="C224" s="5" t="s">
        <v>36</v>
      </c>
      <c r="D224" s="5">
        <v>136.9</v>
      </c>
      <c r="E224" s="5">
        <v>154.1</v>
      </c>
      <c r="F224" s="5">
        <v>138.69999999999999</v>
      </c>
      <c r="G224" s="5">
        <v>142.5</v>
      </c>
      <c r="H224" s="5">
        <v>124.1</v>
      </c>
      <c r="I224" s="5">
        <v>136.1</v>
      </c>
      <c r="J224" s="5">
        <v>128.19999999999999</v>
      </c>
      <c r="K224" s="5">
        <v>122.3</v>
      </c>
      <c r="L224" s="5">
        <v>108.3</v>
      </c>
      <c r="M224" s="5">
        <v>138.9</v>
      </c>
      <c r="N224" s="5">
        <v>137.4</v>
      </c>
      <c r="O224" s="5">
        <v>156.4</v>
      </c>
      <c r="P224" s="5">
        <v>137.30000000000001</v>
      </c>
      <c r="Q224" s="5">
        <v>162.9</v>
      </c>
      <c r="R224" s="5">
        <v>150.80000000000001</v>
      </c>
      <c r="S224" s="5">
        <v>146.1</v>
      </c>
      <c r="T224" s="5">
        <v>150.1</v>
      </c>
      <c r="U224" s="5" t="s">
        <v>32</v>
      </c>
      <c r="V224" s="5">
        <v>146.4</v>
      </c>
      <c r="W224" s="5">
        <v>150</v>
      </c>
      <c r="X224" s="5">
        <v>150.4</v>
      </c>
      <c r="Y224" s="5">
        <v>129.9</v>
      </c>
      <c r="Z224" s="5">
        <v>143.80000000000001</v>
      </c>
      <c r="AA224" s="5">
        <v>155.5</v>
      </c>
      <c r="AB224" s="5">
        <v>134</v>
      </c>
      <c r="AC224" s="5">
        <v>142.4</v>
      </c>
      <c r="AD224" s="5">
        <v>141.19999999999999</v>
      </c>
    </row>
    <row r="225" spans="1:30" x14ac:dyDescent="0.3">
      <c r="A225" s="6" t="s">
        <v>33</v>
      </c>
      <c r="B225" s="6">
        <v>2019</v>
      </c>
      <c r="C225" s="6" t="s">
        <v>36</v>
      </c>
      <c r="D225" s="6">
        <v>139.69999999999999</v>
      </c>
      <c r="E225" s="6">
        <v>151.1</v>
      </c>
      <c r="F225" s="6">
        <v>142.9</v>
      </c>
      <c r="G225" s="6">
        <v>141.9</v>
      </c>
      <c r="H225" s="6">
        <v>118.4</v>
      </c>
      <c r="I225" s="6">
        <v>139.4</v>
      </c>
      <c r="J225" s="6">
        <v>141.19999999999999</v>
      </c>
      <c r="K225" s="6">
        <v>120.7</v>
      </c>
      <c r="L225" s="6">
        <v>110.4</v>
      </c>
      <c r="M225" s="6">
        <v>140.69999999999999</v>
      </c>
      <c r="N225" s="6">
        <v>128.5</v>
      </c>
      <c r="O225" s="6">
        <v>153.9</v>
      </c>
      <c r="P225" s="6">
        <v>139.6</v>
      </c>
      <c r="Q225" s="6">
        <v>165.3</v>
      </c>
      <c r="R225" s="6">
        <v>143.5</v>
      </c>
      <c r="S225" s="6">
        <v>131.19999999999999</v>
      </c>
      <c r="T225" s="6">
        <v>141.6</v>
      </c>
      <c r="U225" s="6">
        <v>149</v>
      </c>
      <c r="V225" s="6">
        <v>128.80000000000001</v>
      </c>
      <c r="W225" s="6">
        <v>136.80000000000001</v>
      </c>
      <c r="X225" s="6">
        <v>139.19999999999999</v>
      </c>
      <c r="Y225" s="6">
        <v>119.9</v>
      </c>
      <c r="Z225" s="6">
        <v>133</v>
      </c>
      <c r="AA225" s="6">
        <v>146.69999999999999</v>
      </c>
      <c r="AB225" s="6">
        <v>132.5</v>
      </c>
      <c r="AC225" s="6">
        <v>132.80000000000001</v>
      </c>
      <c r="AD225" s="6">
        <v>139.5</v>
      </c>
    </row>
    <row r="226" spans="1:30" x14ac:dyDescent="0.3">
      <c r="A226" s="5" t="s">
        <v>34</v>
      </c>
      <c r="B226" s="5">
        <v>2019</v>
      </c>
      <c r="C226" s="5" t="s">
        <v>36</v>
      </c>
      <c r="D226" s="5">
        <v>137.80000000000001</v>
      </c>
      <c r="E226" s="5">
        <v>153</v>
      </c>
      <c r="F226" s="5">
        <v>140.30000000000001</v>
      </c>
      <c r="G226" s="5">
        <v>142.30000000000001</v>
      </c>
      <c r="H226" s="5">
        <v>122</v>
      </c>
      <c r="I226" s="5">
        <v>137.6</v>
      </c>
      <c r="J226" s="5">
        <v>132.6</v>
      </c>
      <c r="K226" s="5">
        <v>121.8</v>
      </c>
      <c r="L226" s="5">
        <v>109</v>
      </c>
      <c r="M226" s="5">
        <v>139.5</v>
      </c>
      <c r="N226" s="5">
        <v>133.69999999999999</v>
      </c>
      <c r="O226" s="5">
        <v>155.19999999999999</v>
      </c>
      <c r="P226" s="5">
        <v>138.1</v>
      </c>
      <c r="Q226" s="5">
        <v>163.5</v>
      </c>
      <c r="R226" s="5">
        <v>147.9</v>
      </c>
      <c r="S226" s="5">
        <v>139.9</v>
      </c>
      <c r="T226" s="5">
        <v>146.69999999999999</v>
      </c>
      <c r="U226" s="5">
        <v>149</v>
      </c>
      <c r="V226" s="5">
        <v>139.69999999999999</v>
      </c>
      <c r="W226" s="5">
        <v>143.80000000000001</v>
      </c>
      <c r="X226" s="5">
        <v>146.19999999999999</v>
      </c>
      <c r="Y226" s="5">
        <v>124.6</v>
      </c>
      <c r="Z226" s="5">
        <v>137.69999999999999</v>
      </c>
      <c r="AA226" s="5">
        <v>150.30000000000001</v>
      </c>
      <c r="AB226" s="5">
        <v>133.4</v>
      </c>
      <c r="AC226" s="5">
        <v>137.69999999999999</v>
      </c>
      <c r="AD226" s="5">
        <v>140.4</v>
      </c>
    </row>
    <row r="227" spans="1:30" x14ac:dyDescent="0.3">
      <c r="A227" s="6" t="s">
        <v>30</v>
      </c>
      <c r="B227" s="6">
        <v>2019</v>
      </c>
      <c r="C227" s="6" t="s">
        <v>38</v>
      </c>
      <c r="D227" s="6">
        <v>137.4</v>
      </c>
      <c r="E227" s="6">
        <v>159.5</v>
      </c>
      <c r="F227" s="6">
        <v>134.5</v>
      </c>
      <c r="G227" s="6">
        <v>142.6</v>
      </c>
      <c r="H227" s="6">
        <v>124</v>
      </c>
      <c r="I227" s="6">
        <v>143.69999999999999</v>
      </c>
      <c r="J227" s="6">
        <v>133.4</v>
      </c>
      <c r="K227" s="6">
        <v>125.1</v>
      </c>
      <c r="L227" s="6">
        <v>109.3</v>
      </c>
      <c r="M227" s="6">
        <v>139.30000000000001</v>
      </c>
      <c r="N227" s="6">
        <v>137.69999999999999</v>
      </c>
      <c r="O227" s="6">
        <v>156.4</v>
      </c>
      <c r="P227" s="6">
        <v>139.19999999999999</v>
      </c>
      <c r="Q227" s="6">
        <v>163.30000000000001</v>
      </c>
      <c r="R227" s="6">
        <v>151.30000000000001</v>
      </c>
      <c r="S227" s="6">
        <v>146.6</v>
      </c>
      <c r="T227" s="6">
        <v>150.69999999999999</v>
      </c>
      <c r="U227" s="6" t="s">
        <v>32</v>
      </c>
      <c r="V227" s="6">
        <v>146.9</v>
      </c>
      <c r="W227" s="6">
        <v>149.5</v>
      </c>
      <c r="X227" s="6">
        <v>151.30000000000001</v>
      </c>
      <c r="Y227" s="6">
        <v>130.19999999999999</v>
      </c>
      <c r="Z227" s="6">
        <v>145.9</v>
      </c>
      <c r="AA227" s="6">
        <v>156.69999999999999</v>
      </c>
      <c r="AB227" s="6">
        <v>133.9</v>
      </c>
      <c r="AC227" s="6">
        <v>142.9</v>
      </c>
      <c r="AD227" s="6">
        <v>142.4</v>
      </c>
    </row>
    <row r="228" spans="1:30" x14ac:dyDescent="0.3">
      <c r="A228" s="5" t="s">
        <v>33</v>
      </c>
      <c r="B228" s="5">
        <v>2019</v>
      </c>
      <c r="C228" s="5" t="s">
        <v>38</v>
      </c>
      <c r="D228" s="5">
        <v>140.4</v>
      </c>
      <c r="E228" s="5">
        <v>156.69999999999999</v>
      </c>
      <c r="F228" s="5">
        <v>138.30000000000001</v>
      </c>
      <c r="G228" s="5">
        <v>142.4</v>
      </c>
      <c r="H228" s="5">
        <v>118.6</v>
      </c>
      <c r="I228" s="5">
        <v>149.69999999999999</v>
      </c>
      <c r="J228" s="5">
        <v>161.6</v>
      </c>
      <c r="K228" s="5">
        <v>124.4</v>
      </c>
      <c r="L228" s="5">
        <v>111.2</v>
      </c>
      <c r="M228" s="5">
        <v>141</v>
      </c>
      <c r="N228" s="5">
        <v>128.9</v>
      </c>
      <c r="O228" s="5">
        <v>154.5</v>
      </c>
      <c r="P228" s="5">
        <v>143.80000000000001</v>
      </c>
      <c r="Q228" s="5">
        <v>166.2</v>
      </c>
      <c r="R228" s="5">
        <v>144</v>
      </c>
      <c r="S228" s="5">
        <v>131.69999999999999</v>
      </c>
      <c r="T228" s="5">
        <v>142.19999999999999</v>
      </c>
      <c r="U228" s="5">
        <v>150.1</v>
      </c>
      <c r="V228" s="5">
        <v>129.4</v>
      </c>
      <c r="W228" s="5">
        <v>137.19999999999999</v>
      </c>
      <c r="X228" s="5">
        <v>139.80000000000001</v>
      </c>
      <c r="Y228" s="5">
        <v>120.1</v>
      </c>
      <c r="Z228" s="5">
        <v>134</v>
      </c>
      <c r="AA228" s="5">
        <v>148</v>
      </c>
      <c r="AB228" s="5">
        <v>132.6</v>
      </c>
      <c r="AC228" s="5">
        <v>133.30000000000001</v>
      </c>
      <c r="AD228" s="5">
        <v>141.5</v>
      </c>
    </row>
    <row r="229" spans="1:30" x14ac:dyDescent="0.3">
      <c r="A229" s="6" t="s">
        <v>34</v>
      </c>
      <c r="B229" s="6">
        <v>2019</v>
      </c>
      <c r="C229" s="6" t="s">
        <v>38</v>
      </c>
      <c r="D229" s="6">
        <v>138.30000000000001</v>
      </c>
      <c r="E229" s="6">
        <v>158.5</v>
      </c>
      <c r="F229" s="6">
        <v>136</v>
      </c>
      <c r="G229" s="6">
        <v>142.5</v>
      </c>
      <c r="H229" s="6">
        <v>122</v>
      </c>
      <c r="I229" s="6">
        <v>146.5</v>
      </c>
      <c r="J229" s="6">
        <v>143</v>
      </c>
      <c r="K229" s="6">
        <v>124.9</v>
      </c>
      <c r="L229" s="6">
        <v>109.9</v>
      </c>
      <c r="M229" s="6">
        <v>139.9</v>
      </c>
      <c r="N229" s="6">
        <v>134</v>
      </c>
      <c r="O229" s="6">
        <v>155.5</v>
      </c>
      <c r="P229" s="6">
        <v>140.9</v>
      </c>
      <c r="Q229" s="6">
        <v>164.1</v>
      </c>
      <c r="R229" s="6">
        <v>148.4</v>
      </c>
      <c r="S229" s="6">
        <v>140.4</v>
      </c>
      <c r="T229" s="6">
        <v>147.30000000000001</v>
      </c>
      <c r="U229" s="6">
        <v>150.1</v>
      </c>
      <c r="V229" s="6">
        <v>140.30000000000001</v>
      </c>
      <c r="W229" s="6">
        <v>143.69999999999999</v>
      </c>
      <c r="X229" s="6">
        <v>146.9</v>
      </c>
      <c r="Y229" s="6">
        <v>124.9</v>
      </c>
      <c r="Z229" s="6">
        <v>139.19999999999999</v>
      </c>
      <c r="AA229" s="6">
        <v>151.6</v>
      </c>
      <c r="AB229" s="6">
        <v>133.4</v>
      </c>
      <c r="AC229" s="6">
        <v>138.19999999999999</v>
      </c>
      <c r="AD229" s="6">
        <v>142</v>
      </c>
    </row>
    <row r="230" spans="1:30" x14ac:dyDescent="0.3">
      <c r="A230" s="5" t="s">
        <v>30</v>
      </c>
      <c r="B230" s="5">
        <v>2019</v>
      </c>
      <c r="C230" s="5" t="s">
        <v>39</v>
      </c>
      <c r="D230" s="5">
        <v>137.80000000000001</v>
      </c>
      <c r="E230" s="5">
        <v>163.5</v>
      </c>
      <c r="F230" s="5">
        <v>136.19999999999999</v>
      </c>
      <c r="G230" s="5">
        <v>143.19999999999999</v>
      </c>
      <c r="H230" s="5">
        <v>124.3</v>
      </c>
      <c r="I230" s="5">
        <v>143.30000000000001</v>
      </c>
      <c r="J230" s="5">
        <v>140.6</v>
      </c>
      <c r="K230" s="5">
        <v>128.69999999999999</v>
      </c>
      <c r="L230" s="5">
        <v>110.6</v>
      </c>
      <c r="M230" s="5">
        <v>140.4</v>
      </c>
      <c r="N230" s="5">
        <v>138</v>
      </c>
      <c r="O230" s="5">
        <v>156.6</v>
      </c>
      <c r="P230" s="5">
        <v>141</v>
      </c>
      <c r="Q230" s="5">
        <v>164.2</v>
      </c>
      <c r="R230" s="5">
        <v>151.4</v>
      </c>
      <c r="S230" s="5">
        <v>146.5</v>
      </c>
      <c r="T230" s="5">
        <v>150.69999999999999</v>
      </c>
      <c r="U230" s="5" t="s">
        <v>32</v>
      </c>
      <c r="V230" s="5">
        <v>147.80000000000001</v>
      </c>
      <c r="W230" s="5">
        <v>149.6</v>
      </c>
      <c r="X230" s="5">
        <v>151.69999999999999</v>
      </c>
      <c r="Y230" s="5">
        <v>130.19999999999999</v>
      </c>
      <c r="Z230" s="5">
        <v>146.4</v>
      </c>
      <c r="AA230" s="5">
        <v>157.69999999999999</v>
      </c>
      <c r="AB230" s="5">
        <v>134.80000000000001</v>
      </c>
      <c r="AC230" s="5">
        <v>143.30000000000001</v>
      </c>
      <c r="AD230" s="5">
        <v>143.6</v>
      </c>
    </row>
    <row r="231" spans="1:30" x14ac:dyDescent="0.3">
      <c r="A231" s="6" t="s">
        <v>33</v>
      </c>
      <c r="B231" s="6">
        <v>2019</v>
      </c>
      <c r="C231" s="6" t="s">
        <v>39</v>
      </c>
      <c r="D231" s="6">
        <v>140.69999999999999</v>
      </c>
      <c r="E231" s="6">
        <v>159.6</v>
      </c>
      <c r="F231" s="6">
        <v>140.4</v>
      </c>
      <c r="G231" s="6">
        <v>143.4</v>
      </c>
      <c r="H231" s="6">
        <v>118.6</v>
      </c>
      <c r="I231" s="6">
        <v>150.9</v>
      </c>
      <c r="J231" s="6">
        <v>169.8</v>
      </c>
      <c r="K231" s="6">
        <v>127.4</v>
      </c>
      <c r="L231" s="6">
        <v>111.8</v>
      </c>
      <c r="M231" s="6">
        <v>141</v>
      </c>
      <c r="N231" s="6">
        <v>129</v>
      </c>
      <c r="O231" s="6">
        <v>155.1</v>
      </c>
      <c r="P231" s="6">
        <v>145.6</v>
      </c>
      <c r="Q231" s="6">
        <v>166.7</v>
      </c>
      <c r="R231" s="6">
        <v>144.30000000000001</v>
      </c>
      <c r="S231" s="6">
        <v>131.69999999999999</v>
      </c>
      <c r="T231" s="6">
        <v>142.4</v>
      </c>
      <c r="U231" s="6">
        <v>149.4</v>
      </c>
      <c r="V231" s="6">
        <v>130.5</v>
      </c>
      <c r="W231" s="6">
        <v>137.4</v>
      </c>
      <c r="X231" s="6">
        <v>140.30000000000001</v>
      </c>
      <c r="Y231" s="6">
        <v>119.6</v>
      </c>
      <c r="Z231" s="6">
        <v>134.30000000000001</v>
      </c>
      <c r="AA231" s="6">
        <v>148.9</v>
      </c>
      <c r="AB231" s="6">
        <v>133.69999999999999</v>
      </c>
      <c r="AC231" s="6">
        <v>133.6</v>
      </c>
      <c r="AD231" s="6">
        <v>142.1</v>
      </c>
    </row>
    <row r="232" spans="1:30" x14ac:dyDescent="0.3">
      <c r="A232" s="5" t="s">
        <v>34</v>
      </c>
      <c r="B232" s="5">
        <v>2019</v>
      </c>
      <c r="C232" s="5" t="s">
        <v>39</v>
      </c>
      <c r="D232" s="5">
        <v>138.69999999999999</v>
      </c>
      <c r="E232" s="5">
        <v>162.1</v>
      </c>
      <c r="F232" s="5">
        <v>137.80000000000001</v>
      </c>
      <c r="G232" s="5">
        <v>143.30000000000001</v>
      </c>
      <c r="H232" s="5">
        <v>122.2</v>
      </c>
      <c r="I232" s="5">
        <v>146.80000000000001</v>
      </c>
      <c r="J232" s="5">
        <v>150.5</v>
      </c>
      <c r="K232" s="5">
        <v>128.30000000000001</v>
      </c>
      <c r="L232" s="5">
        <v>111</v>
      </c>
      <c r="M232" s="5">
        <v>140.6</v>
      </c>
      <c r="N232" s="5">
        <v>134.19999999999999</v>
      </c>
      <c r="O232" s="5">
        <v>155.9</v>
      </c>
      <c r="P232" s="5">
        <v>142.69999999999999</v>
      </c>
      <c r="Q232" s="5">
        <v>164.9</v>
      </c>
      <c r="R232" s="5">
        <v>148.6</v>
      </c>
      <c r="S232" s="5">
        <v>140.4</v>
      </c>
      <c r="T232" s="5">
        <v>147.4</v>
      </c>
      <c r="U232" s="5">
        <v>149.4</v>
      </c>
      <c r="V232" s="5">
        <v>141.19999999999999</v>
      </c>
      <c r="W232" s="5">
        <v>143.80000000000001</v>
      </c>
      <c r="X232" s="5">
        <v>147.4</v>
      </c>
      <c r="Y232" s="5">
        <v>124.6</v>
      </c>
      <c r="Z232" s="5">
        <v>139.6</v>
      </c>
      <c r="AA232" s="5">
        <v>152.5</v>
      </c>
      <c r="AB232" s="5">
        <v>134.30000000000001</v>
      </c>
      <c r="AC232" s="5">
        <v>138.6</v>
      </c>
      <c r="AD232" s="5">
        <v>142.9</v>
      </c>
    </row>
    <row r="233" spans="1:30" x14ac:dyDescent="0.3">
      <c r="A233" s="6" t="s">
        <v>30</v>
      </c>
      <c r="B233" s="6">
        <v>2019</v>
      </c>
      <c r="C233" s="6" t="s">
        <v>40</v>
      </c>
      <c r="D233" s="6">
        <v>138.4</v>
      </c>
      <c r="E233" s="6">
        <v>164</v>
      </c>
      <c r="F233" s="6">
        <v>138.4</v>
      </c>
      <c r="G233" s="6">
        <v>143.9</v>
      </c>
      <c r="H233" s="6">
        <v>124.4</v>
      </c>
      <c r="I233" s="6">
        <v>146.4</v>
      </c>
      <c r="J233" s="6">
        <v>150.1</v>
      </c>
      <c r="K233" s="6">
        <v>130.6</v>
      </c>
      <c r="L233" s="6">
        <v>110.8</v>
      </c>
      <c r="M233" s="6">
        <v>141.69999999999999</v>
      </c>
      <c r="N233" s="6">
        <v>138.5</v>
      </c>
      <c r="O233" s="6">
        <v>156.69999999999999</v>
      </c>
      <c r="P233" s="6">
        <v>143</v>
      </c>
      <c r="Q233" s="6">
        <v>164.5</v>
      </c>
      <c r="R233" s="6">
        <v>151.6</v>
      </c>
      <c r="S233" s="6">
        <v>146.6</v>
      </c>
      <c r="T233" s="6">
        <v>150.9</v>
      </c>
      <c r="U233" s="6" t="s">
        <v>32</v>
      </c>
      <c r="V233" s="6">
        <v>146.80000000000001</v>
      </c>
      <c r="W233" s="6">
        <v>150</v>
      </c>
      <c r="X233" s="6">
        <v>152.19999999999999</v>
      </c>
      <c r="Y233" s="6">
        <v>131.19999999999999</v>
      </c>
      <c r="Z233" s="6">
        <v>147.5</v>
      </c>
      <c r="AA233" s="6">
        <v>159.1</v>
      </c>
      <c r="AB233" s="6">
        <v>136.1</v>
      </c>
      <c r="AC233" s="6">
        <v>144.19999999999999</v>
      </c>
      <c r="AD233" s="6">
        <v>144.9</v>
      </c>
    </row>
    <row r="234" spans="1:30" x14ac:dyDescent="0.3">
      <c r="A234" s="5" t="s">
        <v>33</v>
      </c>
      <c r="B234" s="5">
        <v>2019</v>
      </c>
      <c r="C234" s="5" t="s">
        <v>40</v>
      </c>
      <c r="D234" s="5">
        <v>141.4</v>
      </c>
      <c r="E234" s="5">
        <v>160.19999999999999</v>
      </c>
      <c r="F234" s="5">
        <v>142.5</v>
      </c>
      <c r="G234" s="5">
        <v>144.1</v>
      </c>
      <c r="H234" s="5">
        <v>119.3</v>
      </c>
      <c r="I234" s="5">
        <v>154.69999999999999</v>
      </c>
      <c r="J234" s="5">
        <v>180.1</v>
      </c>
      <c r="K234" s="5">
        <v>128.9</v>
      </c>
      <c r="L234" s="5">
        <v>111.8</v>
      </c>
      <c r="M234" s="5">
        <v>141.6</v>
      </c>
      <c r="N234" s="5">
        <v>129.5</v>
      </c>
      <c r="O234" s="5">
        <v>155.6</v>
      </c>
      <c r="P234" s="5">
        <v>147.69999999999999</v>
      </c>
      <c r="Q234" s="5">
        <v>167.2</v>
      </c>
      <c r="R234" s="5">
        <v>144.69999999999999</v>
      </c>
      <c r="S234" s="5">
        <v>131.9</v>
      </c>
      <c r="T234" s="5">
        <v>142.69999999999999</v>
      </c>
      <c r="U234" s="5">
        <v>150.6</v>
      </c>
      <c r="V234" s="5">
        <v>127</v>
      </c>
      <c r="W234" s="5">
        <v>137.69999999999999</v>
      </c>
      <c r="X234" s="5">
        <v>140.80000000000001</v>
      </c>
      <c r="Y234" s="5">
        <v>120.6</v>
      </c>
      <c r="Z234" s="5">
        <v>135</v>
      </c>
      <c r="AA234" s="5">
        <v>150.4</v>
      </c>
      <c r="AB234" s="5">
        <v>135.1</v>
      </c>
      <c r="AC234" s="5">
        <v>134.5</v>
      </c>
      <c r="AD234" s="5">
        <v>143.30000000000001</v>
      </c>
    </row>
    <row r="235" spans="1:30" x14ac:dyDescent="0.3">
      <c r="A235" s="6" t="s">
        <v>34</v>
      </c>
      <c r="B235" s="6">
        <v>2019</v>
      </c>
      <c r="C235" s="6" t="s">
        <v>40</v>
      </c>
      <c r="D235" s="6">
        <v>139.30000000000001</v>
      </c>
      <c r="E235" s="6">
        <v>162.69999999999999</v>
      </c>
      <c r="F235" s="6">
        <v>140</v>
      </c>
      <c r="G235" s="6">
        <v>144</v>
      </c>
      <c r="H235" s="6">
        <v>122.5</v>
      </c>
      <c r="I235" s="6">
        <v>150.30000000000001</v>
      </c>
      <c r="J235" s="6">
        <v>160.30000000000001</v>
      </c>
      <c r="K235" s="6">
        <v>130</v>
      </c>
      <c r="L235" s="6">
        <v>111.1</v>
      </c>
      <c r="M235" s="6">
        <v>141.69999999999999</v>
      </c>
      <c r="N235" s="6">
        <v>134.69999999999999</v>
      </c>
      <c r="O235" s="6">
        <v>156.19999999999999</v>
      </c>
      <c r="P235" s="6">
        <v>144.69999999999999</v>
      </c>
      <c r="Q235" s="6">
        <v>165.2</v>
      </c>
      <c r="R235" s="6">
        <v>148.9</v>
      </c>
      <c r="S235" s="6">
        <v>140.5</v>
      </c>
      <c r="T235" s="6">
        <v>147.6</v>
      </c>
      <c r="U235" s="6">
        <v>150.6</v>
      </c>
      <c r="V235" s="6">
        <v>139.30000000000001</v>
      </c>
      <c r="W235" s="6">
        <v>144.19999999999999</v>
      </c>
      <c r="X235" s="6">
        <v>147.9</v>
      </c>
      <c r="Y235" s="6">
        <v>125.6</v>
      </c>
      <c r="Z235" s="6">
        <v>140.5</v>
      </c>
      <c r="AA235" s="6">
        <v>154</v>
      </c>
      <c r="AB235" s="6">
        <v>135.69999999999999</v>
      </c>
      <c r="AC235" s="6">
        <v>139.5</v>
      </c>
      <c r="AD235" s="6">
        <v>144.19999999999999</v>
      </c>
    </row>
    <row r="236" spans="1:30" x14ac:dyDescent="0.3">
      <c r="A236" s="5" t="s">
        <v>30</v>
      </c>
      <c r="B236" s="5">
        <v>2019</v>
      </c>
      <c r="C236" s="5" t="s">
        <v>41</v>
      </c>
      <c r="D236" s="5">
        <v>139.19999999999999</v>
      </c>
      <c r="E236" s="5">
        <v>161.9</v>
      </c>
      <c r="F236" s="5">
        <v>137.1</v>
      </c>
      <c r="G236" s="5">
        <v>144.6</v>
      </c>
      <c r="H236" s="5">
        <v>124.7</v>
      </c>
      <c r="I236" s="5">
        <v>145.5</v>
      </c>
      <c r="J236" s="5">
        <v>156.19999999999999</v>
      </c>
      <c r="K236" s="5">
        <v>131.5</v>
      </c>
      <c r="L236" s="5">
        <v>111.7</v>
      </c>
      <c r="M236" s="5">
        <v>142.69999999999999</v>
      </c>
      <c r="N236" s="5">
        <v>138.5</v>
      </c>
      <c r="O236" s="5">
        <v>156.9</v>
      </c>
      <c r="P236" s="5">
        <v>144</v>
      </c>
      <c r="Q236" s="5">
        <v>165.1</v>
      </c>
      <c r="R236" s="5">
        <v>151.80000000000001</v>
      </c>
      <c r="S236" s="5">
        <v>146.6</v>
      </c>
      <c r="T236" s="5">
        <v>151.1</v>
      </c>
      <c r="U236" s="5" t="s">
        <v>32</v>
      </c>
      <c r="V236" s="5">
        <v>146.4</v>
      </c>
      <c r="W236" s="5">
        <v>150.19999999999999</v>
      </c>
      <c r="X236" s="5">
        <v>152.69999999999999</v>
      </c>
      <c r="Y236" s="5">
        <v>131.4</v>
      </c>
      <c r="Z236" s="5">
        <v>148</v>
      </c>
      <c r="AA236" s="5">
        <v>159.69999999999999</v>
      </c>
      <c r="AB236" s="5">
        <v>138.80000000000001</v>
      </c>
      <c r="AC236" s="5">
        <v>144.9</v>
      </c>
      <c r="AD236" s="5">
        <v>145.69999999999999</v>
      </c>
    </row>
    <row r="237" spans="1:30" x14ac:dyDescent="0.3">
      <c r="A237" s="6" t="s">
        <v>33</v>
      </c>
      <c r="B237" s="6">
        <v>2019</v>
      </c>
      <c r="C237" s="6" t="s">
        <v>41</v>
      </c>
      <c r="D237" s="6">
        <v>142.1</v>
      </c>
      <c r="E237" s="6">
        <v>158.30000000000001</v>
      </c>
      <c r="F237" s="6">
        <v>140.80000000000001</v>
      </c>
      <c r="G237" s="6">
        <v>144.9</v>
      </c>
      <c r="H237" s="6">
        <v>119.9</v>
      </c>
      <c r="I237" s="6">
        <v>153.9</v>
      </c>
      <c r="J237" s="6">
        <v>189.1</v>
      </c>
      <c r="K237" s="6">
        <v>129.80000000000001</v>
      </c>
      <c r="L237" s="6">
        <v>112.7</v>
      </c>
      <c r="M237" s="6">
        <v>142.5</v>
      </c>
      <c r="N237" s="6">
        <v>129.80000000000001</v>
      </c>
      <c r="O237" s="6">
        <v>156.19999999999999</v>
      </c>
      <c r="P237" s="6">
        <v>149.1</v>
      </c>
      <c r="Q237" s="6">
        <v>167.9</v>
      </c>
      <c r="R237" s="6">
        <v>145</v>
      </c>
      <c r="S237" s="6">
        <v>132.19999999999999</v>
      </c>
      <c r="T237" s="6">
        <v>143</v>
      </c>
      <c r="U237" s="6">
        <v>151.6</v>
      </c>
      <c r="V237" s="6">
        <v>125.5</v>
      </c>
      <c r="W237" s="6">
        <v>138.1</v>
      </c>
      <c r="X237" s="6">
        <v>141.5</v>
      </c>
      <c r="Y237" s="6">
        <v>120.8</v>
      </c>
      <c r="Z237" s="6">
        <v>135.4</v>
      </c>
      <c r="AA237" s="6">
        <v>151.5</v>
      </c>
      <c r="AB237" s="6">
        <v>137.80000000000001</v>
      </c>
      <c r="AC237" s="6">
        <v>135.30000000000001</v>
      </c>
      <c r="AD237" s="6">
        <v>144.19999999999999</v>
      </c>
    </row>
    <row r="238" spans="1:30" x14ac:dyDescent="0.3">
      <c r="A238" s="5" t="s">
        <v>34</v>
      </c>
      <c r="B238" s="5">
        <v>2019</v>
      </c>
      <c r="C238" s="5" t="s">
        <v>41</v>
      </c>
      <c r="D238" s="5">
        <v>140.1</v>
      </c>
      <c r="E238" s="5">
        <v>160.6</v>
      </c>
      <c r="F238" s="5">
        <v>138.5</v>
      </c>
      <c r="G238" s="5">
        <v>144.69999999999999</v>
      </c>
      <c r="H238" s="5">
        <v>122.9</v>
      </c>
      <c r="I238" s="5">
        <v>149.4</v>
      </c>
      <c r="J238" s="5">
        <v>167.4</v>
      </c>
      <c r="K238" s="5">
        <v>130.9</v>
      </c>
      <c r="L238" s="5">
        <v>112</v>
      </c>
      <c r="M238" s="5">
        <v>142.6</v>
      </c>
      <c r="N238" s="5">
        <v>134.9</v>
      </c>
      <c r="O238" s="5">
        <v>156.6</v>
      </c>
      <c r="P238" s="5">
        <v>145.9</v>
      </c>
      <c r="Q238" s="5">
        <v>165.8</v>
      </c>
      <c r="R238" s="5">
        <v>149.1</v>
      </c>
      <c r="S238" s="5">
        <v>140.6</v>
      </c>
      <c r="T238" s="5">
        <v>147.9</v>
      </c>
      <c r="U238" s="5">
        <v>151.6</v>
      </c>
      <c r="V238" s="5">
        <v>138.5</v>
      </c>
      <c r="W238" s="5">
        <v>144.5</v>
      </c>
      <c r="X238" s="5">
        <v>148.5</v>
      </c>
      <c r="Y238" s="5">
        <v>125.8</v>
      </c>
      <c r="Z238" s="5">
        <v>140.9</v>
      </c>
      <c r="AA238" s="5">
        <v>154.9</v>
      </c>
      <c r="AB238" s="5">
        <v>138.4</v>
      </c>
      <c r="AC238" s="5">
        <v>140.19999999999999</v>
      </c>
      <c r="AD238" s="5">
        <v>145</v>
      </c>
    </row>
    <row r="239" spans="1:30" x14ac:dyDescent="0.3">
      <c r="A239" s="6" t="s">
        <v>30</v>
      </c>
      <c r="B239" s="6">
        <v>2019</v>
      </c>
      <c r="C239" s="6" t="s">
        <v>42</v>
      </c>
      <c r="D239" s="6">
        <v>140.1</v>
      </c>
      <c r="E239" s="6">
        <v>161.9</v>
      </c>
      <c r="F239" s="6">
        <v>138.30000000000001</v>
      </c>
      <c r="G239" s="6">
        <v>145.69999999999999</v>
      </c>
      <c r="H239" s="6">
        <v>125.1</v>
      </c>
      <c r="I239" s="6">
        <v>143.80000000000001</v>
      </c>
      <c r="J239" s="6">
        <v>163.4</v>
      </c>
      <c r="K239" s="6">
        <v>132.19999999999999</v>
      </c>
      <c r="L239" s="6">
        <v>112.8</v>
      </c>
      <c r="M239" s="6">
        <v>144.19999999999999</v>
      </c>
      <c r="N239" s="6">
        <v>138.5</v>
      </c>
      <c r="O239" s="6">
        <v>157.19999999999999</v>
      </c>
      <c r="P239" s="6">
        <v>145.5</v>
      </c>
      <c r="Q239" s="6">
        <v>165.7</v>
      </c>
      <c r="R239" s="6">
        <v>151.69999999999999</v>
      </c>
      <c r="S239" s="6">
        <v>146.6</v>
      </c>
      <c r="T239" s="6">
        <v>151</v>
      </c>
      <c r="U239" s="6" t="s">
        <v>32</v>
      </c>
      <c r="V239" s="6">
        <v>146.9</v>
      </c>
      <c r="W239" s="6">
        <v>150.30000000000001</v>
      </c>
      <c r="X239" s="6">
        <v>153.4</v>
      </c>
      <c r="Y239" s="6">
        <v>131.6</v>
      </c>
      <c r="Z239" s="6">
        <v>148.30000000000001</v>
      </c>
      <c r="AA239" s="6">
        <v>160.19999999999999</v>
      </c>
      <c r="AB239" s="6">
        <v>140.19999999999999</v>
      </c>
      <c r="AC239" s="6">
        <v>145.4</v>
      </c>
      <c r="AD239" s="6">
        <v>146.69999999999999</v>
      </c>
    </row>
    <row r="240" spans="1:30" x14ac:dyDescent="0.3">
      <c r="A240" s="5" t="s">
        <v>33</v>
      </c>
      <c r="B240" s="5">
        <v>2019</v>
      </c>
      <c r="C240" s="5" t="s">
        <v>42</v>
      </c>
      <c r="D240" s="5">
        <v>142.69999999999999</v>
      </c>
      <c r="E240" s="5">
        <v>158.69999999999999</v>
      </c>
      <c r="F240" s="5">
        <v>141.6</v>
      </c>
      <c r="G240" s="5">
        <v>144.9</v>
      </c>
      <c r="H240" s="5">
        <v>120.8</v>
      </c>
      <c r="I240" s="5">
        <v>149.80000000000001</v>
      </c>
      <c r="J240" s="5">
        <v>192.4</v>
      </c>
      <c r="K240" s="5">
        <v>130.30000000000001</v>
      </c>
      <c r="L240" s="5">
        <v>114</v>
      </c>
      <c r="M240" s="5">
        <v>143.80000000000001</v>
      </c>
      <c r="N240" s="5">
        <v>130</v>
      </c>
      <c r="O240" s="5">
        <v>156.4</v>
      </c>
      <c r="P240" s="5">
        <v>149.5</v>
      </c>
      <c r="Q240" s="5">
        <v>168.6</v>
      </c>
      <c r="R240" s="5">
        <v>145.30000000000001</v>
      </c>
      <c r="S240" s="5">
        <v>132.19999999999999</v>
      </c>
      <c r="T240" s="5">
        <v>143.30000000000001</v>
      </c>
      <c r="U240" s="5">
        <v>152.19999999999999</v>
      </c>
      <c r="V240" s="5">
        <v>126.6</v>
      </c>
      <c r="W240" s="5">
        <v>138.30000000000001</v>
      </c>
      <c r="X240" s="5">
        <v>141.9</v>
      </c>
      <c r="Y240" s="5">
        <v>121.2</v>
      </c>
      <c r="Z240" s="5">
        <v>135.9</v>
      </c>
      <c r="AA240" s="5">
        <v>151.6</v>
      </c>
      <c r="AB240" s="5">
        <v>139</v>
      </c>
      <c r="AC240" s="5">
        <v>135.69999999999999</v>
      </c>
      <c r="AD240" s="5">
        <v>144.69999999999999</v>
      </c>
    </row>
    <row r="241" spans="1:30" x14ac:dyDescent="0.3">
      <c r="A241" s="6" t="s">
        <v>34</v>
      </c>
      <c r="B241" s="6">
        <v>2019</v>
      </c>
      <c r="C241" s="6" t="s">
        <v>42</v>
      </c>
      <c r="D241" s="6">
        <v>140.9</v>
      </c>
      <c r="E241" s="6">
        <v>160.80000000000001</v>
      </c>
      <c r="F241" s="6">
        <v>139.6</v>
      </c>
      <c r="G241" s="6">
        <v>145.4</v>
      </c>
      <c r="H241" s="6">
        <v>123.5</v>
      </c>
      <c r="I241" s="6">
        <v>146.6</v>
      </c>
      <c r="J241" s="6">
        <v>173.2</v>
      </c>
      <c r="K241" s="6">
        <v>131.6</v>
      </c>
      <c r="L241" s="6">
        <v>113.2</v>
      </c>
      <c r="M241" s="6">
        <v>144.1</v>
      </c>
      <c r="N241" s="6">
        <v>135</v>
      </c>
      <c r="O241" s="6">
        <v>156.80000000000001</v>
      </c>
      <c r="P241" s="6">
        <v>147</v>
      </c>
      <c r="Q241" s="6">
        <v>166.5</v>
      </c>
      <c r="R241" s="6">
        <v>149.19999999999999</v>
      </c>
      <c r="S241" s="6">
        <v>140.6</v>
      </c>
      <c r="T241" s="6">
        <v>147.9</v>
      </c>
      <c r="U241" s="6">
        <v>152.19999999999999</v>
      </c>
      <c r="V241" s="6">
        <v>139.19999999999999</v>
      </c>
      <c r="W241" s="6">
        <v>144.6</v>
      </c>
      <c r="X241" s="6">
        <v>149</v>
      </c>
      <c r="Y241" s="6">
        <v>126.1</v>
      </c>
      <c r="Z241" s="6">
        <v>141.30000000000001</v>
      </c>
      <c r="AA241" s="6">
        <v>155.19999999999999</v>
      </c>
      <c r="AB241" s="6">
        <v>139.69999999999999</v>
      </c>
      <c r="AC241" s="6">
        <v>140.69999999999999</v>
      </c>
      <c r="AD241" s="6">
        <v>145.80000000000001</v>
      </c>
    </row>
    <row r="242" spans="1:30" x14ac:dyDescent="0.3">
      <c r="A242" s="5" t="s">
        <v>30</v>
      </c>
      <c r="B242" s="5">
        <v>2019</v>
      </c>
      <c r="C242" s="5" t="s">
        <v>43</v>
      </c>
      <c r="D242" s="5">
        <v>141</v>
      </c>
      <c r="E242" s="5">
        <v>161.6</v>
      </c>
      <c r="F242" s="5">
        <v>141.19999999999999</v>
      </c>
      <c r="G242" s="5">
        <v>146.5</v>
      </c>
      <c r="H242" s="5">
        <v>125.6</v>
      </c>
      <c r="I242" s="5">
        <v>145.69999999999999</v>
      </c>
      <c r="J242" s="5">
        <v>178.8</v>
      </c>
      <c r="K242" s="5">
        <v>133.1</v>
      </c>
      <c r="L242" s="5">
        <v>113.6</v>
      </c>
      <c r="M242" s="5">
        <v>145.5</v>
      </c>
      <c r="N242" s="5">
        <v>138.6</v>
      </c>
      <c r="O242" s="5">
        <v>157.4</v>
      </c>
      <c r="P242" s="5">
        <v>148.30000000000001</v>
      </c>
      <c r="Q242" s="5">
        <v>166.3</v>
      </c>
      <c r="R242" s="5">
        <v>151.69999999999999</v>
      </c>
      <c r="S242" s="5">
        <v>146.69999999999999</v>
      </c>
      <c r="T242" s="5">
        <v>151</v>
      </c>
      <c r="U242" s="5" t="s">
        <v>32</v>
      </c>
      <c r="V242" s="5">
        <v>147.69999999999999</v>
      </c>
      <c r="W242" s="5">
        <v>150.6</v>
      </c>
      <c r="X242" s="5">
        <v>153.69999999999999</v>
      </c>
      <c r="Y242" s="5">
        <v>131.69999999999999</v>
      </c>
      <c r="Z242" s="5">
        <v>148.69999999999999</v>
      </c>
      <c r="AA242" s="5">
        <v>160.69999999999999</v>
      </c>
      <c r="AB242" s="5">
        <v>140.30000000000001</v>
      </c>
      <c r="AC242" s="5">
        <v>145.69999999999999</v>
      </c>
      <c r="AD242" s="5">
        <v>148.30000000000001</v>
      </c>
    </row>
    <row r="243" spans="1:30" x14ac:dyDescent="0.3">
      <c r="A243" s="6" t="s">
        <v>33</v>
      </c>
      <c r="B243" s="6">
        <v>2019</v>
      </c>
      <c r="C243" s="6" t="s">
        <v>43</v>
      </c>
      <c r="D243" s="6">
        <v>143.5</v>
      </c>
      <c r="E243" s="6">
        <v>159.80000000000001</v>
      </c>
      <c r="F243" s="6">
        <v>144.69999999999999</v>
      </c>
      <c r="G243" s="6">
        <v>145.6</v>
      </c>
      <c r="H243" s="6">
        <v>121.1</v>
      </c>
      <c r="I243" s="6">
        <v>150.6</v>
      </c>
      <c r="J243" s="6">
        <v>207.2</v>
      </c>
      <c r="K243" s="6">
        <v>131.19999999999999</v>
      </c>
      <c r="L243" s="6">
        <v>114.8</v>
      </c>
      <c r="M243" s="6">
        <v>145.19999999999999</v>
      </c>
      <c r="N243" s="6">
        <v>130.19999999999999</v>
      </c>
      <c r="O243" s="6">
        <v>156.80000000000001</v>
      </c>
      <c r="P243" s="6">
        <v>151.9</v>
      </c>
      <c r="Q243" s="6">
        <v>169.3</v>
      </c>
      <c r="R243" s="6">
        <v>145.9</v>
      </c>
      <c r="S243" s="6">
        <v>132.4</v>
      </c>
      <c r="T243" s="6">
        <v>143.9</v>
      </c>
      <c r="U243" s="6">
        <v>153</v>
      </c>
      <c r="V243" s="6">
        <v>128.9</v>
      </c>
      <c r="W243" s="6">
        <v>138.69999999999999</v>
      </c>
      <c r="X243" s="6">
        <v>142.4</v>
      </c>
      <c r="Y243" s="6">
        <v>121.5</v>
      </c>
      <c r="Z243" s="6">
        <v>136.19999999999999</v>
      </c>
      <c r="AA243" s="6">
        <v>151.69999999999999</v>
      </c>
      <c r="AB243" s="6">
        <v>139.5</v>
      </c>
      <c r="AC243" s="6">
        <v>136</v>
      </c>
      <c r="AD243" s="6">
        <v>146</v>
      </c>
    </row>
    <row r="244" spans="1:30" x14ac:dyDescent="0.3">
      <c r="A244" s="5" t="s">
        <v>34</v>
      </c>
      <c r="B244" s="5">
        <v>2019</v>
      </c>
      <c r="C244" s="5" t="s">
        <v>43</v>
      </c>
      <c r="D244" s="5">
        <v>141.80000000000001</v>
      </c>
      <c r="E244" s="5">
        <v>161</v>
      </c>
      <c r="F244" s="5">
        <v>142.6</v>
      </c>
      <c r="G244" s="5">
        <v>146.19999999999999</v>
      </c>
      <c r="H244" s="5">
        <v>123.9</v>
      </c>
      <c r="I244" s="5">
        <v>148</v>
      </c>
      <c r="J244" s="5">
        <v>188.4</v>
      </c>
      <c r="K244" s="5">
        <v>132.5</v>
      </c>
      <c r="L244" s="5">
        <v>114</v>
      </c>
      <c r="M244" s="5">
        <v>145.4</v>
      </c>
      <c r="N244" s="5">
        <v>135.1</v>
      </c>
      <c r="O244" s="5">
        <v>157.1</v>
      </c>
      <c r="P244" s="5">
        <v>149.6</v>
      </c>
      <c r="Q244" s="5">
        <v>167.1</v>
      </c>
      <c r="R244" s="5">
        <v>149.4</v>
      </c>
      <c r="S244" s="5">
        <v>140.80000000000001</v>
      </c>
      <c r="T244" s="5">
        <v>148.19999999999999</v>
      </c>
      <c r="U244" s="5">
        <v>153</v>
      </c>
      <c r="V244" s="5">
        <v>140.6</v>
      </c>
      <c r="W244" s="5">
        <v>145</v>
      </c>
      <c r="X244" s="5">
        <v>149.4</v>
      </c>
      <c r="Y244" s="5">
        <v>126.3</v>
      </c>
      <c r="Z244" s="5">
        <v>141.69999999999999</v>
      </c>
      <c r="AA244" s="5">
        <v>155.4</v>
      </c>
      <c r="AB244" s="5">
        <v>140</v>
      </c>
      <c r="AC244" s="5">
        <v>141</v>
      </c>
      <c r="AD244" s="5">
        <v>147.19999999999999</v>
      </c>
    </row>
    <row r="245" spans="1:30" x14ac:dyDescent="0.3">
      <c r="A245" s="6" t="s">
        <v>30</v>
      </c>
      <c r="B245" s="6">
        <v>2019</v>
      </c>
      <c r="C245" s="6" t="s">
        <v>45</v>
      </c>
      <c r="D245" s="6">
        <v>141.80000000000001</v>
      </c>
      <c r="E245" s="6">
        <v>163.69999999999999</v>
      </c>
      <c r="F245" s="6">
        <v>143.80000000000001</v>
      </c>
      <c r="G245" s="6">
        <v>147.1</v>
      </c>
      <c r="H245" s="6">
        <v>126</v>
      </c>
      <c r="I245" s="6">
        <v>146.19999999999999</v>
      </c>
      <c r="J245" s="6">
        <v>191.4</v>
      </c>
      <c r="K245" s="6">
        <v>136.19999999999999</v>
      </c>
      <c r="L245" s="6">
        <v>113.8</v>
      </c>
      <c r="M245" s="6">
        <v>147.30000000000001</v>
      </c>
      <c r="N245" s="6">
        <v>138.69999999999999</v>
      </c>
      <c r="O245" s="6">
        <v>157.69999999999999</v>
      </c>
      <c r="P245" s="6">
        <v>150.9</v>
      </c>
      <c r="Q245" s="6">
        <v>167.2</v>
      </c>
      <c r="R245" s="6">
        <v>152.30000000000001</v>
      </c>
      <c r="S245" s="6">
        <v>147</v>
      </c>
      <c r="T245" s="6">
        <v>151.5</v>
      </c>
      <c r="U245" s="6" t="s">
        <v>32</v>
      </c>
      <c r="V245" s="6">
        <v>148.4</v>
      </c>
      <c r="W245" s="6">
        <v>150.9</v>
      </c>
      <c r="X245" s="6">
        <v>154.30000000000001</v>
      </c>
      <c r="Y245" s="6">
        <v>132.1</v>
      </c>
      <c r="Z245" s="6">
        <v>149.1</v>
      </c>
      <c r="AA245" s="6">
        <v>160.80000000000001</v>
      </c>
      <c r="AB245" s="6">
        <v>140.6</v>
      </c>
      <c r="AC245" s="6">
        <v>146.1</v>
      </c>
      <c r="AD245" s="6">
        <v>149.9</v>
      </c>
    </row>
    <row r="246" spans="1:30" x14ac:dyDescent="0.3">
      <c r="A246" s="5" t="s">
        <v>33</v>
      </c>
      <c r="B246" s="5">
        <v>2019</v>
      </c>
      <c r="C246" s="5" t="s">
        <v>45</v>
      </c>
      <c r="D246" s="5">
        <v>144.1</v>
      </c>
      <c r="E246" s="5">
        <v>162.4</v>
      </c>
      <c r="F246" s="5">
        <v>148.4</v>
      </c>
      <c r="G246" s="5">
        <v>145.9</v>
      </c>
      <c r="H246" s="5">
        <v>121.5</v>
      </c>
      <c r="I246" s="5">
        <v>148.80000000000001</v>
      </c>
      <c r="J246" s="5">
        <v>215.7</v>
      </c>
      <c r="K246" s="5">
        <v>134.6</v>
      </c>
      <c r="L246" s="5">
        <v>115</v>
      </c>
      <c r="M246" s="5">
        <v>146.30000000000001</v>
      </c>
      <c r="N246" s="5">
        <v>130.5</v>
      </c>
      <c r="O246" s="5">
        <v>157.19999999999999</v>
      </c>
      <c r="P246" s="5">
        <v>153.6</v>
      </c>
      <c r="Q246" s="5">
        <v>169.9</v>
      </c>
      <c r="R246" s="5">
        <v>146.30000000000001</v>
      </c>
      <c r="S246" s="5">
        <v>132.6</v>
      </c>
      <c r="T246" s="5">
        <v>144.19999999999999</v>
      </c>
      <c r="U246" s="5">
        <v>153.5</v>
      </c>
      <c r="V246" s="5">
        <v>132.19999999999999</v>
      </c>
      <c r="W246" s="5">
        <v>139.1</v>
      </c>
      <c r="X246" s="5">
        <v>142.80000000000001</v>
      </c>
      <c r="Y246" s="5">
        <v>121.7</v>
      </c>
      <c r="Z246" s="5">
        <v>136.69999999999999</v>
      </c>
      <c r="AA246" s="5">
        <v>151.80000000000001</v>
      </c>
      <c r="AB246" s="5">
        <v>139.80000000000001</v>
      </c>
      <c r="AC246" s="5">
        <v>136.30000000000001</v>
      </c>
      <c r="AD246" s="5">
        <v>147</v>
      </c>
    </row>
    <row r="247" spans="1:30" x14ac:dyDescent="0.3">
      <c r="A247" s="6" t="s">
        <v>34</v>
      </c>
      <c r="B247" s="6">
        <v>2019</v>
      </c>
      <c r="C247" s="6" t="s">
        <v>45</v>
      </c>
      <c r="D247" s="6">
        <v>142.5</v>
      </c>
      <c r="E247" s="6">
        <v>163.19999999999999</v>
      </c>
      <c r="F247" s="6">
        <v>145.6</v>
      </c>
      <c r="G247" s="6">
        <v>146.69999999999999</v>
      </c>
      <c r="H247" s="6">
        <v>124.3</v>
      </c>
      <c r="I247" s="6">
        <v>147.4</v>
      </c>
      <c r="J247" s="6">
        <v>199.6</v>
      </c>
      <c r="K247" s="6">
        <v>135.69999999999999</v>
      </c>
      <c r="L247" s="6">
        <v>114.2</v>
      </c>
      <c r="M247" s="6">
        <v>147</v>
      </c>
      <c r="N247" s="6">
        <v>135.30000000000001</v>
      </c>
      <c r="O247" s="6">
        <v>157.5</v>
      </c>
      <c r="P247" s="6">
        <v>151.9</v>
      </c>
      <c r="Q247" s="6">
        <v>167.9</v>
      </c>
      <c r="R247" s="6">
        <v>149.9</v>
      </c>
      <c r="S247" s="6">
        <v>141</v>
      </c>
      <c r="T247" s="6">
        <v>148.6</v>
      </c>
      <c r="U247" s="6">
        <v>153.5</v>
      </c>
      <c r="V247" s="6">
        <v>142.30000000000001</v>
      </c>
      <c r="W247" s="6">
        <v>145.30000000000001</v>
      </c>
      <c r="X247" s="6">
        <v>149.9</v>
      </c>
      <c r="Y247" s="6">
        <v>126.6</v>
      </c>
      <c r="Z247" s="6">
        <v>142.1</v>
      </c>
      <c r="AA247" s="6">
        <v>155.5</v>
      </c>
      <c r="AB247" s="6">
        <v>140.30000000000001</v>
      </c>
      <c r="AC247" s="6">
        <v>141.30000000000001</v>
      </c>
      <c r="AD247" s="6">
        <v>148.6</v>
      </c>
    </row>
    <row r="248" spans="1:30" x14ac:dyDescent="0.3">
      <c r="A248" s="5" t="s">
        <v>30</v>
      </c>
      <c r="B248" s="5">
        <v>2019</v>
      </c>
      <c r="C248" s="5" t="s">
        <v>46</v>
      </c>
      <c r="D248" s="5">
        <v>142.80000000000001</v>
      </c>
      <c r="E248" s="5">
        <v>165.3</v>
      </c>
      <c r="F248" s="5">
        <v>149.5</v>
      </c>
      <c r="G248" s="5">
        <v>148.69999999999999</v>
      </c>
      <c r="H248" s="5">
        <v>127.5</v>
      </c>
      <c r="I248" s="5">
        <v>144.30000000000001</v>
      </c>
      <c r="J248" s="5">
        <v>209.5</v>
      </c>
      <c r="K248" s="5">
        <v>138.80000000000001</v>
      </c>
      <c r="L248" s="5">
        <v>113.6</v>
      </c>
      <c r="M248" s="5">
        <v>149.1</v>
      </c>
      <c r="N248" s="5">
        <v>139.30000000000001</v>
      </c>
      <c r="O248" s="5">
        <v>158.30000000000001</v>
      </c>
      <c r="P248" s="5">
        <v>154.30000000000001</v>
      </c>
      <c r="Q248" s="5">
        <v>167.8</v>
      </c>
      <c r="R248" s="5">
        <v>152.6</v>
      </c>
      <c r="S248" s="5">
        <v>147.30000000000001</v>
      </c>
      <c r="T248" s="5">
        <v>151.9</v>
      </c>
      <c r="U248" s="5" t="s">
        <v>32</v>
      </c>
      <c r="V248" s="5">
        <v>149.9</v>
      </c>
      <c r="W248" s="5">
        <v>151.19999999999999</v>
      </c>
      <c r="X248" s="5">
        <v>154.80000000000001</v>
      </c>
      <c r="Y248" s="5">
        <v>135</v>
      </c>
      <c r="Z248" s="5">
        <v>149.5</v>
      </c>
      <c r="AA248" s="5">
        <v>161.1</v>
      </c>
      <c r="AB248" s="5">
        <v>140.6</v>
      </c>
      <c r="AC248" s="5">
        <v>147.1</v>
      </c>
      <c r="AD248" s="5">
        <v>152.30000000000001</v>
      </c>
    </row>
    <row r="249" spans="1:30" x14ac:dyDescent="0.3">
      <c r="A249" s="6" t="s">
        <v>33</v>
      </c>
      <c r="B249" s="6">
        <v>2019</v>
      </c>
      <c r="C249" s="6" t="s">
        <v>46</v>
      </c>
      <c r="D249" s="6">
        <v>144.9</v>
      </c>
      <c r="E249" s="6">
        <v>164.5</v>
      </c>
      <c r="F249" s="6">
        <v>153.69999999999999</v>
      </c>
      <c r="G249" s="6">
        <v>147.5</v>
      </c>
      <c r="H249" s="6">
        <v>122.7</v>
      </c>
      <c r="I249" s="6">
        <v>147.19999999999999</v>
      </c>
      <c r="J249" s="6">
        <v>231.5</v>
      </c>
      <c r="K249" s="6">
        <v>137.19999999999999</v>
      </c>
      <c r="L249" s="6">
        <v>114.7</v>
      </c>
      <c r="M249" s="6">
        <v>148</v>
      </c>
      <c r="N249" s="6">
        <v>130.80000000000001</v>
      </c>
      <c r="O249" s="6">
        <v>157.69999999999999</v>
      </c>
      <c r="P249" s="6">
        <v>156.30000000000001</v>
      </c>
      <c r="Q249" s="6">
        <v>170.4</v>
      </c>
      <c r="R249" s="6">
        <v>146.80000000000001</v>
      </c>
      <c r="S249" s="6">
        <v>132.80000000000001</v>
      </c>
      <c r="T249" s="6">
        <v>144.6</v>
      </c>
      <c r="U249" s="6">
        <v>152.80000000000001</v>
      </c>
      <c r="V249" s="6">
        <v>133.6</v>
      </c>
      <c r="W249" s="6">
        <v>139.80000000000001</v>
      </c>
      <c r="X249" s="6">
        <v>143.19999999999999</v>
      </c>
      <c r="Y249" s="6">
        <v>125.2</v>
      </c>
      <c r="Z249" s="6">
        <v>136.80000000000001</v>
      </c>
      <c r="AA249" s="6">
        <v>151.9</v>
      </c>
      <c r="AB249" s="6">
        <v>140.19999999999999</v>
      </c>
      <c r="AC249" s="6">
        <v>137.69999999999999</v>
      </c>
      <c r="AD249" s="6">
        <v>148.30000000000001</v>
      </c>
    </row>
    <row r="250" spans="1:30" x14ac:dyDescent="0.3">
      <c r="A250" s="5" t="s">
        <v>34</v>
      </c>
      <c r="B250" s="5">
        <v>2019</v>
      </c>
      <c r="C250" s="5" t="s">
        <v>46</v>
      </c>
      <c r="D250" s="5">
        <v>143.5</v>
      </c>
      <c r="E250" s="5">
        <v>165</v>
      </c>
      <c r="F250" s="5">
        <v>151.1</v>
      </c>
      <c r="G250" s="5">
        <v>148.30000000000001</v>
      </c>
      <c r="H250" s="5">
        <v>125.7</v>
      </c>
      <c r="I250" s="5">
        <v>145.69999999999999</v>
      </c>
      <c r="J250" s="5">
        <v>217</v>
      </c>
      <c r="K250" s="5">
        <v>138.30000000000001</v>
      </c>
      <c r="L250" s="5">
        <v>114</v>
      </c>
      <c r="M250" s="5">
        <v>148.69999999999999</v>
      </c>
      <c r="N250" s="5">
        <v>135.80000000000001</v>
      </c>
      <c r="O250" s="5">
        <v>158</v>
      </c>
      <c r="P250" s="5">
        <v>155</v>
      </c>
      <c r="Q250" s="5">
        <v>168.5</v>
      </c>
      <c r="R250" s="5">
        <v>150.30000000000001</v>
      </c>
      <c r="S250" s="5">
        <v>141.30000000000001</v>
      </c>
      <c r="T250" s="5">
        <v>149</v>
      </c>
      <c r="U250" s="5">
        <v>152.80000000000001</v>
      </c>
      <c r="V250" s="5">
        <v>143.69999999999999</v>
      </c>
      <c r="W250" s="5">
        <v>145.80000000000001</v>
      </c>
      <c r="X250" s="5">
        <v>150.4</v>
      </c>
      <c r="Y250" s="5">
        <v>129.80000000000001</v>
      </c>
      <c r="Z250" s="5">
        <v>142.30000000000001</v>
      </c>
      <c r="AA250" s="5">
        <v>155.69999999999999</v>
      </c>
      <c r="AB250" s="5">
        <v>140.4</v>
      </c>
      <c r="AC250" s="5">
        <v>142.5</v>
      </c>
      <c r="AD250" s="5">
        <v>150.4</v>
      </c>
    </row>
    <row r="251" spans="1:30" x14ac:dyDescent="0.3">
      <c r="A251" s="6" t="s">
        <v>30</v>
      </c>
      <c r="B251" s="6">
        <v>2020</v>
      </c>
      <c r="C251" s="6" t="s">
        <v>31</v>
      </c>
      <c r="D251" s="6">
        <v>143.69999999999999</v>
      </c>
      <c r="E251" s="6">
        <v>167.3</v>
      </c>
      <c r="F251" s="6">
        <v>153.5</v>
      </c>
      <c r="G251" s="6">
        <v>150.5</v>
      </c>
      <c r="H251" s="6">
        <v>132</v>
      </c>
      <c r="I251" s="6">
        <v>142.19999999999999</v>
      </c>
      <c r="J251" s="6">
        <v>191.5</v>
      </c>
      <c r="K251" s="6">
        <v>141.1</v>
      </c>
      <c r="L251" s="6">
        <v>113.8</v>
      </c>
      <c r="M251" s="6">
        <v>151.6</v>
      </c>
      <c r="N251" s="6">
        <v>139.69999999999999</v>
      </c>
      <c r="O251" s="6">
        <v>158.69999999999999</v>
      </c>
      <c r="P251" s="6">
        <v>153</v>
      </c>
      <c r="Q251" s="6">
        <v>168.6</v>
      </c>
      <c r="R251" s="6">
        <v>152.80000000000001</v>
      </c>
      <c r="S251" s="6">
        <v>147.4</v>
      </c>
      <c r="T251" s="6">
        <v>152.1</v>
      </c>
      <c r="U251" s="6" t="s">
        <v>32</v>
      </c>
      <c r="V251" s="6">
        <v>150.4</v>
      </c>
      <c r="W251" s="6">
        <v>151.69999999999999</v>
      </c>
      <c r="X251" s="6">
        <v>155.69999999999999</v>
      </c>
      <c r="Y251" s="6">
        <v>136.30000000000001</v>
      </c>
      <c r="Z251" s="6">
        <v>150.1</v>
      </c>
      <c r="AA251" s="6">
        <v>161.69999999999999</v>
      </c>
      <c r="AB251" s="6">
        <v>142.5</v>
      </c>
      <c r="AC251" s="6">
        <v>148.1</v>
      </c>
      <c r="AD251" s="6">
        <v>151.9</v>
      </c>
    </row>
    <row r="252" spans="1:30" x14ac:dyDescent="0.3">
      <c r="A252" s="5" t="s">
        <v>33</v>
      </c>
      <c r="B252" s="5">
        <v>2020</v>
      </c>
      <c r="C252" s="5" t="s">
        <v>31</v>
      </c>
      <c r="D252" s="5">
        <v>145.6</v>
      </c>
      <c r="E252" s="5">
        <v>167.6</v>
      </c>
      <c r="F252" s="5">
        <v>157</v>
      </c>
      <c r="G252" s="5">
        <v>149.30000000000001</v>
      </c>
      <c r="H252" s="5">
        <v>126.3</v>
      </c>
      <c r="I252" s="5">
        <v>144.4</v>
      </c>
      <c r="J252" s="5">
        <v>207.8</v>
      </c>
      <c r="K252" s="5">
        <v>139.1</v>
      </c>
      <c r="L252" s="5">
        <v>114.8</v>
      </c>
      <c r="M252" s="5">
        <v>149.5</v>
      </c>
      <c r="N252" s="5">
        <v>131.1</v>
      </c>
      <c r="O252" s="5">
        <v>158.5</v>
      </c>
      <c r="P252" s="5">
        <v>154.4</v>
      </c>
      <c r="Q252" s="5">
        <v>170.8</v>
      </c>
      <c r="R252" s="5">
        <v>147</v>
      </c>
      <c r="S252" s="5">
        <v>133.19999999999999</v>
      </c>
      <c r="T252" s="5">
        <v>144.9</v>
      </c>
      <c r="U252" s="5">
        <v>153.9</v>
      </c>
      <c r="V252" s="5">
        <v>135.1</v>
      </c>
      <c r="W252" s="5">
        <v>140.1</v>
      </c>
      <c r="X252" s="5">
        <v>143.80000000000001</v>
      </c>
      <c r="Y252" s="5">
        <v>126.1</v>
      </c>
      <c r="Z252" s="5">
        <v>137.19999999999999</v>
      </c>
      <c r="AA252" s="5">
        <v>152.1</v>
      </c>
      <c r="AB252" s="5">
        <v>142.1</v>
      </c>
      <c r="AC252" s="5">
        <v>138.4</v>
      </c>
      <c r="AD252" s="5">
        <v>148.19999999999999</v>
      </c>
    </row>
    <row r="253" spans="1:30" x14ac:dyDescent="0.3">
      <c r="A253" s="6" t="s">
        <v>34</v>
      </c>
      <c r="B253" s="6">
        <v>2020</v>
      </c>
      <c r="C253" s="6" t="s">
        <v>31</v>
      </c>
      <c r="D253" s="6">
        <v>144.30000000000001</v>
      </c>
      <c r="E253" s="6">
        <v>167.4</v>
      </c>
      <c r="F253" s="6">
        <v>154.9</v>
      </c>
      <c r="G253" s="6">
        <v>150.1</v>
      </c>
      <c r="H253" s="6">
        <v>129.9</v>
      </c>
      <c r="I253" s="6">
        <v>143.19999999999999</v>
      </c>
      <c r="J253" s="6">
        <v>197</v>
      </c>
      <c r="K253" s="6">
        <v>140.4</v>
      </c>
      <c r="L253" s="6">
        <v>114.1</v>
      </c>
      <c r="M253" s="6">
        <v>150.9</v>
      </c>
      <c r="N253" s="6">
        <v>136.1</v>
      </c>
      <c r="O253" s="6">
        <v>158.6</v>
      </c>
      <c r="P253" s="6">
        <v>153.5</v>
      </c>
      <c r="Q253" s="6">
        <v>169.2</v>
      </c>
      <c r="R253" s="6">
        <v>150.5</v>
      </c>
      <c r="S253" s="6">
        <v>141.5</v>
      </c>
      <c r="T253" s="6">
        <v>149.19999999999999</v>
      </c>
      <c r="U253" s="6">
        <v>153.9</v>
      </c>
      <c r="V253" s="6">
        <v>144.6</v>
      </c>
      <c r="W253" s="6">
        <v>146.19999999999999</v>
      </c>
      <c r="X253" s="6">
        <v>151.19999999999999</v>
      </c>
      <c r="Y253" s="6">
        <v>130.9</v>
      </c>
      <c r="Z253" s="6">
        <v>142.80000000000001</v>
      </c>
      <c r="AA253" s="6">
        <v>156.1</v>
      </c>
      <c r="AB253" s="6">
        <v>142.30000000000001</v>
      </c>
      <c r="AC253" s="6">
        <v>143.4</v>
      </c>
      <c r="AD253" s="6">
        <v>150.19999999999999</v>
      </c>
    </row>
    <row r="254" spans="1:30" x14ac:dyDescent="0.3">
      <c r="A254" s="5" t="s">
        <v>30</v>
      </c>
      <c r="B254" s="5">
        <v>2020</v>
      </c>
      <c r="C254" s="5" t="s">
        <v>35</v>
      </c>
      <c r="D254" s="5">
        <v>144.19999999999999</v>
      </c>
      <c r="E254" s="5">
        <v>167.5</v>
      </c>
      <c r="F254" s="5">
        <v>150.9</v>
      </c>
      <c r="G254" s="5">
        <v>150.9</v>
      </c>
      <c r="H254" s="5">
        <v>133.69999999999999</v>
      </c>
      <c r="I254" s="5">
        <v>140.69999999999999</v>
      </c>
      <c r="J254" s="5">
        <v>165.1</v>
      </c>
      <c r="K254" s="5">
        <v>141.80000000000001</v>
      </c>
      <c r="L254" s="5">
        <v>113.1</v>
      </c>
      <c r="M254" s="5">
        <v>152.80000000000001</v>
      </c>
      <c r="N254" s="5">
        <v>140.1</v>
      </c>
      <c r="O254" s="5">
        <v>159.19999999999999</v>
      </c>
      <c r="P254" s="5">
        <v>149.80000000000001</v>
      </c>
      <c r="Q254" s="5">
        <v>169.4</v>
      </c>
      <c r="R254" s="5">
        <v>153</v>
      </c>
      <c r="S254" s="5">
        <v>147.5</v>
      </c>
      <c r="T254" s="5">
        <v>152.30000000000001</v>
      </c>
      <c r="U254" s="5" t="s">
        <v>32</v>
      </c>
      <c r="V254" s="5">
        <v>152.30000000000001</v>
      </c>
      <c r="W254" s="5">
        <v>151.80000000000001</v>
      </c>
      <c r="X254" s="5">
        <v>156.19999999999999</v>
      </c>
      <c r="Y254" s="5">
        <v>136</v>
      </c>
      <c r="Z254" s="5">
        <v>150.4</v>
      </c>
      <c r="AA254" s="5">
        <v>161.9</v>
      </c>
      <c r="AB254" s="5">
        <v>143.4</v>
      </c>
      <c r="AC254" s="5">
        <v>148.4</v>
      </c>
      <c r="AD254" s="5">
        <v>150.4</v>
      </c>
    </row>
    <row r="255" spans="1:30" x14ac:dyDescent="0.3">
      <c r="A255" s="6" t="s">
        <v>33</v>
      </c>
      <c r="B255" s="6">
        <v>2020</v>
      </c>
      <c r="C255" s="6" t="s">
        <v>35</v>
      </c>
      <c r="D255" s="6">
        <v>146.19999999999999</v>
      </c>
      <c r="E255" s="6">
        <v>167.6</v>
      </c>
      <c r="F255" s="6">
        <v>153.1</v>
      </c>
      <c r="G255" s="6">
        <v>150.69999999999999</v>
      </c>
      <c r="H255" s="6">
        <v>127.4</v>
      </c>
      <c r="I255" s="6">
        <v>143.1</v>
      </c>
      <c r="J255" s="6">
        <v>181.7</v>
      </c>
      <c r="K255" s="6">
        <v>139.6</v>
      </c>
      <c r="L255" s="6">
        <v>114.6</v>
      </c>
      <c r="M255" s="6">
        <v>150.4</v>
      </c>
      <c r="N255" s="6">
        <v>131.5</v>
      </c>
      <c r="O255" s="6">
        <v>159</v>
      </c>
      <c r="P255" s="6">
        <v>151.69999999999999</v>
      </c>
      <c r="Q255" s="6">
        <v>172</v>
      </c>
      <c r="R255" s="6">
        <v>147.30000000000001</v>
      </c>
      <c r="S255" s="6">
        <v>133.5</v>
      </c>
      <c r="T255" s="6">
        <v>145.19999999999999</v>
      </c>
      <c r="U255" s="6">
        <v>154.80000000000001</v>
      </c>
      <c r="V255" s="6">
        <v>138.9</v>
      </c>
      <c r="W255" s="6">
        <v>140.4</v>
      </c>
      <c r="X255" s="6">
        <v>144.4</v>
      </c>
      <c r="Y255" s="6">
        <v>125.2</v>
      </c>
      <c r="Z255" s="6">
        <v>137.69999999999999</v>
      </c>
      <c r="AA255" s="6">
        <v>152.19999999999999</v>
      </c>
      <c r="AB255" s="6">
        <v>143.5</v>
      </c>
      <c r="AC255" s="6">
        <v>138.4</v>
      </c>
      <c r="AD255" s="6">
        <v>147.69999999999999</v>
      </c>
    </row>
    <row r="256" spans="1:30" x14ac:dyDescent="0.3">
      <c r="A256" s="5" t="s">
        <v>34</v>
      </c>
      <c r="B256" s="5">
        <v>2020</v>
      </c>
      <c r="C256" s="5" t="s">
        <v>35</v>
      </c>
      <c r="D256" s="5">
        <v>144.80000000000001</v>
      </c>
      <c r="E256" s="5">
        <v>167.5</v>
      </c>
      <c r="F256" s="5">
        <v>151.80000000000001</v>
      </c>
      <c r="G256" s="5">
        <v>150.80000000000001</v>
      </c>
      <c r="H256" s="5">
        <v>131.4</v>
      </c>
      <c r="I256" s="5">
        <v>141.80000000000001</v>
      </c>
      <c r="J256" s="5">
        <v>170.7</v>
      </c>
      <c r="K256" s="5">
        <v>141.1</v>
      </c>
      <c r="L256" s="5">
        <v>113.6</v>
      </c>
      <c r="M256" s="5">
        <v>152</v>
      </c>
      <c r="N256" s="5">
        <v>136.5</v>
      </c>
      <c r="O256" s="5">
        <v>159.1</v>
      </c>
      <c r="P256" s="5">
        <v>150.5</v>
      </c>
      <c r="Q256" s="5">
        <v>170.1</v>
      </c>
      <c r="R256" s="5">
        <v>150.80000000000001</v>
      </c>
      <c r="S256" s="5">
        <v>141.69999999999999</v>
      </c>
      <c r="T256" s="5">
        <v>149.5</v>
      </c>
      <c r="U256" s="5">
        <v>154.80000000000001</v>
      </c>
      <c r="V256" s="5">
        <v>147.19999999999999</v>
      </c>
      <c r="W256" s="5">
        <v>146.4</v>
      </c>
      <c r="X256" s="5">
        <v>151.69999999999999</v>
      </c>
      <c r="Y256" s="5">
        <v>130.30000000000001</v>
      </c>
      <c r="Z256" s="5">
        <v>143.19999999999999</v>
      </c>
      <c r="AA256" s="5">
        <v>156.19999999999999</v>
      </c>
      <c r="AB256" s="5">
        <v>143.4</v>
      </c>
      <c r="AC256" s="5">
        <v>143.6</v>
      </c>
      <c r="AD256" s="5">
        <v>149.1</v>
      </c>
    </row>
    <row r="257" spans="1:30" x14ac:dyDescent="0.3">
      <c r="A257" s="6" t="s">
        <v>30</v>
      </c>
      <c r="B257" s="6">
        <v>2020</v>
      </c>
      <c r="C257" s="6" t="s">
        <v>36</v>
      </c>
      <c r="D257" s="6">
        <v>144.4</v>
      </c>
      <c r="E257" s="6">
        <v>166.8</v>
      </c>
      <c r="F257" s="6">
        <v>147.6</v>
      </c>
      <c r="G257" s="6">
        <v>151.69999999999999</v>
      </c>
      <c r="H257" s="6">
        <v>133.30000000000001</v>
      </c>
      <c r="I257" s="6">
        <v>141.80000000000001</v>
      </c>
      <c r="J257" s="6">
        <v>152.30000000000001</v>
      </c>
      <c r="K257" s="6">
        <v>141.80000000000001</v>
      </c>
      <c r="L257" s="6">
        <v>112.6</v>
      </c>
      <c r="M257" s="6">
        <v>154</v>
      </c>
      <c r="N257" s="6">
        <v>140.1</v>
      </c>
      <c r="O257" s="6">
        <v>160</v>
      </c>
      <c r="P257" s="6">
        <v>148.19999999999999</v>
      </c>
      <c r="Q257" s="6">
        <v>170.5</v>
      </c>
      <c r="R257" s="6">
        <v>153.4</v>
      </c>
      <c r="S257" s="6">
        <v>147.6</v>
      </c>
      <c r="T257" s="6">
        <v>152.5</v>
      </c>
      <c r="U257" s="6" t="s">
        <v>32</v>
      </c>
      <c r="V257" s="6">
        <v>153.4</v>
      </c>
      <c r="W257" s="6">
        <v>151.5</v>
      </c>
      <c r="X257" s="6">
        <v>156.69999999999999</v>
      </c>
      <c r="Y257" s="6">
        <v>135.80000000000001</v>
      </c>
      <c r="Z257" s="6">
        <v>151.19999999999999</v>
      </c>
      <c r="AA257" s="6">
        <v>161.19999999999999</v>
      </c>
      <c r="AB257" s="6">
        <v>145.1</v>
      </c>
      <c r="AC257" s="6">
        <v>148.6</v>
      </c>
      <c r="AD257" s="6">
        <v>149.80000000000001</v>
      </c>
    </row>
    <row r="258" spans="1:30" x14ac:dyDescent="0.3">
      <c r="A258" s="5" t="s">
        <v>33</v>
      </c>
      <c r="B258" s="5">
        <v>2020</v>
      </c>
      <c r="C258" s="5" t="s">
        <v>36</v>
      </c>
      <c r="D258" s="5">
        <v>146.5</v>
      </c>
      <c r="E258" s="5">
        <v>167.5</v>
      </c>
      <c r="F258" s="5">
        <v>148.9</v>
      </c>
      <c r="G258" s="5">
        <v>151.1</v>
      </c>
      <c r="H258" s="5">
        <v>127.5</v>
      </c>
      <c r="I258" s="5">
        <v>143.30000000000001</v>
      </c>
      <c r="J258" s="5">
        <v>167</v>
      </c>
      <c r="K258" s="5">
        <v>139.69999999999999</v>
      </c>
      <c r="L258" s="5">
        <v>114.4</v>
      </c>
      <c r="M258" s="5">
        <v>151.5</v>
      </c>
      <c r="N258" s="5">
        <v>131.9</v>
      </c>
      <c r="O258" s="5">
        <v>159.1</v>
      </c>
      <c r="P258" s="5">
        <v>150.1</v>
      </c>
      <c r="Q258" s="5">
        <v>173.3</v>
      </c>
      <c r="R258" s="5">
        <v>147.69999999999999</v>
      </c>
      <c r="S258" s="5">
        <v>133.80000000000001</v>
      </c>
      <c r="T258" s="5">
        <v>145.6</v>
      </c>
      <c r="U258" s="5">
        <v>154.5</v>
      </c>
      <c r="V258" s="5">
        <v>141.4</v>
      </c>
      <c r="W258" s="5">
        <v>140.80000000000001</v>
      </c>
      <c r="X258" s="5">
        <v>145</v>
      </c>
      <c r="Y258" s="5">
        <v>124.6</v>
      </c>
      <c r="Z258" s="5">
        <v>137.9</v>
      </c>
      <c r="AA258" s="5">
        <v>152.5</v>
      </c>
      <c r="AB258" s="5">
        <v>145.30000000000001</v>
      </c>
      <c r="AC258" s="5">
        <v>138.69999999999999</v>
      </c>
      <c r="AD258" s="5">
        <v>147.30000000000001</v>
      </c>
    </row>
    <row r="259" spans="1:30" x14ac:dyDescent="0.3">
      <c r="A259" s="6" t="s">
        <v>34</v>
      </c>
      <c r="B259" s="6">
        <v>2020</v>
      </c>
      <c r="C259" s="6" t="s">
        <v>36</v>
      </c>
      <c r="D259" s="6">
        <v>145.1</v>
      </c>
      <c r="E259" s="6">
        <v>167</v>
      </c>
      <c r="F259" s="6">
        <v>148.1</v>
      </c>
      <c r="G259" s="6">
        <v>151.5</v>
      </c>
      <c r="H259" s="6">
        <v>131.19999999999999</v>
      </c>
      <c r="I259" s="6">
        <v>142.5</v>
      </c>
      <c r="J259" s="6">
        <v>157.30000000000001</v>
      </c>
      <c r="K259" s="6">
        <v>141.1</v>
      </c>
      <c r="L259" s="6">
        <v>113.2</v>
      </c>
      <c r="M259" s="6">
        <v>153.19999999999999</v>
      </c>
      <c r="N259" s="6">
        <v>136.69999999999999</v>
      </c>
      <c r="O259" s="6">
        <v>159.6</v>
      </c>
      <c r="P259" s="6">
        <v>148.9</v>
      </c>
      <c r="Q259" s="6">
        <v>171.2</v>
      </c>
      <c r="R259" s="6">
        <v>151.19999999999999</v>
      </c>
      <c r="S259" s="6">
        <v>141.9</v>
      </c>
      <c r="T259" s="6">
        <v>149.80000000000001</v>
      </c>
      <c r="U259" s="6">
        <v>154.5</v>
      </c>
      <c r="V259" s="6">
        <v>148.9</v>
      </c>
      <c r="W259" s="6">
        <v>146.4</v>
      </c>
      <c r="X259" s="6">
        <v>152.30000000000001</v>
      </c>
      <c r="Y259" s="6">
        <v>129.9</v>
      </c>
      <c r="Z259" s="6">
        <v>143.69999999999999</v>
      </c>
      <c r="AA259" s="6">
        <v>156.1</v>
      </c>
      <c r="AB259" s="6">
        <v>145.19999999999999</v>
      </c>
      <c r="AC259" s="6">
        <v>143.80000000000001</v>
      </c>
      <c r="AD259" s="6">
        <v>148.6</v>
      </c>
    </row>
    <row r="260" spans="1:30" x14ac:dyDescent="0.3">
      <c r="A260" s="5" t="s">
        <v>30</v>
      </c>
      <c r="B260" s="5">
        <v>2020</v>
      </c>
      <c r="C260" s="5" t="s">
        <v>37</v>
      </c>
      <c r="D260" s="5">
        <v>147.19999999999999</v>
      </c>
      <c r="E260" s="5" t="s">
        <v>32</v>
      </c>
      <c r="F260" s="5">
        <v>146.9</v>
      </c>
      <c r="G260" s="5">
        <v>155.6</v>
      </c>
      <c r="H260" s="5">
        <v>137.1</v>
      </c>
      <c r="I260" s="5">
        <v>147.30000000000001</v>
      </c>
      <c r="J260" s="5">
        <v>162.69999999999999</v>
      </c>
      <c r="K260" s="5">
        <v>150.19999999999999</v>
      </c>
      <c r="L260" s="5">
        <v>119.8</v>
      </c>
      <c r="M260" s="5">
        <v>158.69999999999999</v>
      </c>
      <c r="N260" s="5">
        <v>139.19999999999999</v>
      </c>
      <c r="O260" s="5" t="s">
        <v>32</v>
      </c>
      <c r="P260" s="5">
        <v>150.1</v>
      </c>
      <c r="Q260" s="5" t="s">
        <v>32</v>
      </c>
      <c r="R260" s="5" t="s">
        <v>32</v>
      </c>
      <c r="S260" s="5" t="s">
        <v>32</v>
      </c>
      <c r="T260" s="5" t="s">
        <v>32</v>
      </c>
      <c r="U260" s="5" t="s">
        <v>32</v>
      </c>
      <c r="V260" s="5">
        <v>148.4</v>
      </c>
      <c r="W260" s="5" t="s">
        <v>32</v>
      </c>
      <c r="X260" s="5">
        <v>154.30000000000001</v>
      </c>
      <c r="Y260" s="5" t="s">
        <v>32</v>
      </c>
      <c r="Z260" s="5" t="s">
        <v>32</v>
      </c>
      <c r="AA260" s="5" t="s">
        <v>32</v>
      </c>
      <c r="AB260" s="5" t="s">
        <v>32</v>
      </c>
      <c r="AC260" s="5" t="s">
        <v>32</v>
      </c>
      <c r="AD260" s="5" t="s">
        <v>32</v>
      </c>
    </row>
    <row r="261" spans="1:30" x14ac:dyDescent="0.3">
      <c r="A261" s="6" t="s">
        <v>33</v>
      </c>
      <c r="B261" s="6">
        <v>2020</v>
      </c>
      <c r="C261" s="6" t="s">
        <v>37</v>
      </c>
      <c r="D261" s="6">
        <v>151.80000000000001</v>
      </c>
      <c r="E261" s="6" t="s">
        <v>32</v>
      </c>
      <c r="F261" s="6">
        <v>151.9</v>
      </c>
      <c r="G261" s="6">
        <v>155.5</v>
      </c>
      <c r="H261" s="6">
        <v>131.6</v>
      </c>
      <c r="I261" s="6">
        <v>152.9</v>
      </c>
      <c r="J261" s="6">
        <v>180</v>
      </c>
      <c r="K261" s="6">
        <v>150.80000000000001</v>
      </c>
      <c r="L261" s="6">
        <v>121.2</v>
      </c>
      <c r="M261" s="6">
        <v>154</v>
      </c>
      <c r="N261" s="6">
        <v>133.5</v>
      </c>
      <c r="O261" s="6" t="s">
        <v>32</v>
      </c>
      <c r="P261" s="6">
        <v>153.5</v>
      </c>
      <c r="Q261" s="6" t="s">
        <v>32</v>
      </c>
      <c r="R261" s="6" t="s">
        <v>32</v>
      </c>
      <c r="S261" s="6" t="s">
        <v>32</v>
      </c>
      <c r="T261" s="6" t="s">
        <v>32</v>
      </c>
      <c r="U261" s="6">
        <v>155.6</v>
      </c>
      <c r="V261" s="6">
        <v>137.1</v>
      </c>
      <c r="W261" s="6" t="s">
        <v>32</v>
      </c>
      <c r="X261" s="6">
        <v>144.80000000000001</v>
      </c>
      <c r="Y261" s="6" t="s">
        <v>32</v>
      </c>
      <c r="Z261" s="6" t="s">
        <v>32</v>
      </c>
      <c r="AA261" s="6" t="s">
        <v>32</v>
      </c>
      <c r="AB261" s="6" t="s">
        <v>32</v>
      </c>
      <c r="AC261" s="6" t="s">
        <v>32</v>
      </c>
      <c r="AD261" s="6" t="s">
        <v>32</v>
      </c>
    </row>
    <row r="262" spans="1:30" x14ac:dyDescent="0.3">
      <c r="A262" s="5" t="s">
        <v>34</v>
      </c>
      <c r="B262" s="5">
        <v>2020</v>
      </c>
      <c r="C262" s="5" t="s">
        <v>37</v>
      </c>
      <c r="D262" s="5">
        <v>148.69999999999999</v>
      </c>
      <c r="E262" s="5" t="s">
        <v>32</v>
      </c>
      <c r="F262" s="5">
        <v>148.80000000000001</v>
      </c>
      <c r="G262" s="5">
        <v>155.6</v>
      </c>
      <c r="H262" s="5">
        <v>135.1</v>
      </c>
      <c r="I262" s="5">
        <v>149.9</v>
      </c>
      <c r="J262" s="5">
        <v>168.6</v>
      </c>
      <c r="K262" s="5">
        <v>150.4</v>
      </c>
      <c r="L262" s="5">
        <v>120.3</v>
      </c>
      <c r="M262" s="5">
        <v>157.1</v>
      </c>
      <c r="N262" s="5">
        <v>136.80000000000001</v>
      </c>
      <c r="O262" s="5" t="s">
        <v>32</v>
      </c>
      <c r="P262" s="5">
        <v>151.4</v>
      </c>
      <c r="Q262" s="5" t="s">
        <v>32</v>
      </c>
      <c r="R262" s="5" t="s">
        <v>32</v>
      </c>
      <c r="S262" s="5" t="s">
        <v>32</v>
      </c>
      <c r="T262" s="5" t="s">
        <v>32</v>
      </c>
      <c r="U262" s="5">
        <v>155.6</v>
      </c>
      <c r="V262" s="5">
        <v>144.1</v>
      </c>
      <c r="W262" s="5" t="s">
        <v>32</v>
      </c>
      <c r="X262" s="5">
        <v>150.69999999999999</v>
      </c>
      <c r="Y262" s="5" t="s">
        <v>32</v>
      </c>
      <c r="Z262" s="5" t="s">
        <v>32</v>
      </c>
      <c r="AA262" s="5" t="s">
        <v>32</v>
      </c>
      <c r="AB262" s="5" t="s">
        <v>32</v>
      </c>
      <c r="AC262" s="5" t="s">
        <v>32</v>
      </c>
      <c r="AD262" s="5" t="s">
        <v>32</v>
      </c>
    </row>
    <row r="263" spans="1:30" x14ac:dyDescent="0.3">
      <c r="A263" s="6" t="s">
        <v>30</v>
      </c>
      <c r="B263" s="6">
        <v>2020</v>
      </c>
      <c r="C263" s="6" t="s">
        <v>38</v>
      </c>
      <c r="D263" s="6" t="s">
        <v>32</v>
      </c>
      <c r="E263" s="6" t="s">
        <v>32</v>
      </c>
      <c r="F263" s="6" t="s">
        <v>32</v>
      </c>
      <c r="G263" s="6" t="s">
        <v>32</v>
      </c>
      <c r="H263" s="6" t="s">
        <v>32</v>
      </c>
      <c r="I263" s="6" t="s">
        <v>32</v>
      </c>
      <c r="J263" s="6" t="s">
        <v>32</v>
      </c>
      <c r="K263" s="6" t="s">
        <v>32</v>
      </c>
      <c r="L263" s="6" t="s">
        <v>32</v>
      </c>
      <c r="M263" s="6" t="s">
        <v>32</v>
      </c>
      <c r="N263" s="6" t="s">
        <v>32</v>
      </c>
      <c r="O263" s="6" t="s">
        <v>32</v>
      </c>
      <c r="P263" s="6" t="s">
        <v>32</v>
      </c>
      <c r="Q263" s="6" t="s">
        <v>32</v>
      </c>
      <c r="R263" s="6" t="s">
        <v>32</v>
      </c>
      <c r="S263" s="6" t="s">
        <v>32</v>
      </c>
      <c r="T263" s="6" t="s">
        <v>32</v>
      </c>
      <c r="U263" s="6" t="s">
        <v>32</v>
      </c>
      <c r="V263" s="6" t="s">
        <v>32</v>
      </c>
      <c r="W263" s="6" t="s">
        <v>32</v>
      </c>
      <c r="X263" s="6" t="s">
        <v>32</v>
      </c>
      <c r="Y263" s="6" t="s">
        <v>32</v>
      </c>
      <c r="Z263" s="6" t="s">
        <v>32</v>
      </c>
      <c r="AA263" s="6" t="s">
        <v>32</v>
      </c>
      <c r="AB263" s="6" t="s">
        <v>32</v>
      </c>
      <c r="AC263" s="6" t="s">
        <v>32</v>
      </c>
      <c r="AD263" s="6" t="s">
        <v>32</v>
      </c>
    </row>
    <row r="264" spans="1:30" x14ac:dyDescent="0.3">
      <c r="A264" s="5" t="s">
        <v>33</v>
      </c>
      <c r="B264" s="5">
        <v>2020</v>
      </c>
      <c r="C264" s="5" t="s">
        <v>38</v>
      </c>
      <c r="D264" s="5" t="s">
        <v>32</v>
      </c>
      <c r="E264" s="5" t="s">
        <v>32</v>
      </c>
      <c r="F264" s="5" t="s">
        <v>32</v>
      </c>
      <c r="G264" s="5" t="s">
        <v>32</v>
      </c>
      <c r="H264" s="5" t="s">
        <v>32</v>
      </c>
      <c r="I264" s="5" t="s">
        <v>32</v>
      </c>
      <c r="J264" s="5" t="s">
        <v>32</v>
      </c>
      <c r="K264" s="5" t="s">
        <v>32</v>
      </c>
      <c r="L264" s="5" t="s">
        <v>32</v>
      </c>
      <c r="M264" s="5" t="s">
        <v>32</v>
      </c>
      <c r="N264" s="5" t="s">
        <v>32</v>
      </c>
      <c r="O264" s="5" t="s">
        <v>32</v>
      </c>
      <c r="P264" s="5" t="s">
        <v>32</v>
      </c>
      <c r="Q264" s="5" t="s">
        <v>32</v>
      </c>
      <c r="R264" s="5" t="s">
        <v>32</v>
      </c>
      <c r="S264" s="5" t="s">
        <v>32</v>
      </c>
      <c r="T264" s="5" t="s">
        <v>32</v>
      </c>
      <c r="U264" s="5" t="s">
        <v>32</v>
      </c>
      <c r="V264" s="5" t="s">
        <v>32</v>
      </c>
      <c r="W264" s="5" t="s">
        <v>32</v>
      </c>
      <c r="X264" s="5" t="s">
        <v>32</v>
      </c>
      <c r="Y264" s="5" t="s">
        <v>32</v>
      </c>
      <c r="Z264" s="5" t="s">
        <v>32</v>
      </c>
      <c r="AA264" s="5" t="s">
        <v>32</v>
      </c>
      <c r="AB264" s="5" t="s">
        <v>32</v>
      </c>
      <c r="AC264" s="5" t="s">
        <v>32</v>
      </c>
      <c r="AD264" s="5" t="s">
        <v>32</v>
      </c>
    </row>
    <row r="265" spans="1:30" x14ac:dyDescent="0.3">
      <c r="A265" s="6" t="s">
        <v>34</v>
      </c>
      <c r="B265" s="6">
        <v>2020</v>
      </c>
      <c r="C265" s="6" t="s">
        <v>38</v>
      </c>
      <c r="D265" s="6" t="s">
        <v>32</v>
      </c>
      <c r="E265" s="6" t="s">
        <v>32</v>
      </c>
      <c r="F265" s="6" t="s">
        <v>32</v>
      </c>
      <c r="G265" s="6" t="s">
        <v>32</v>
      </c>
      <c r="H265" s="6" t="s">
        <v>32</v>
      </c>
      <c r="I265" s="6" t="s">
        <v>32</v>
      </c>
      <c r="J265" s="6" t="s">
        <v>32</v>
      </c>
      <c r="K265" s="6" t="s">
        <v>32</v>
      </c>
      <c r="L265" s="6" t="s">
        <v>32</v>
      </c>
      <c r="M265" s="6" t="s">
        <v>32</v>
      </c>
      <c r="N265" s="6" t="s">
        <v>32</v>
      </c>
      <c r="O265" s="6" t="s">
        <v>32</v>
      </c>
      <c r="P265" s="6" t="s">
        <v>32</v>
      </c>
      <c r="Q265" s="6" t="s">
        <v>32</v>
      </c>
      <c r="R265" s="6" t="s">
        <v>32</v>
      </c>
      <c r="S265" s="6" t="s">
        <v>32</v>
      </c>
      <c r="T265" s="6" t="s">
        <v>32</v>
      </c>
      <c r="U265" s="6" t="s">
        <v>32</v>
      </c>
      <c r="V265" s="6" t="s">
        <v>32</v>
      </c>
      <c r="W265" s="6" t="s">
        <v>32</v>
      </c>
      <c r="X265" s="6" t="s">
        <v>32</v>
      </c>
      <c r="Y265" s="6" t="s">
        <v>32</v>
      </c>
      <c r="Z265" s="6" t="s">
        <v>32</v>
      </c>
      <c r="AA265" s="6" t="s">
        <v>32</v>
      </c>
      <c r="AB265" s="6" t="s">
        <v>32</v>
      </c>
      <c r="AC265" s="6" t="s">
        <v>32</v>
      </c>
      <c r="AD265" s="6" t="s">
        <v>32</v>
      </c>
    </row>
    <row r="266" spans="1:30" x14ac:dyDescent="0.3">
      <c r="A266" s="5" t="s">
        <v>30</v>
      </c>
      <c r="B266" s="5">
        <v>2020</v>
      </c>
      <c r="C266" s="5" t="s">
        <v>39</v>
      </c>
      <c r="D266" s="5">
        <v>148.19999999999999</v>
      </c>
      <c r="E266" s="5">
        <v>190.3</v>
      </c>
      <c r="F266" s="5">
        <v>149.4</v>
      </c>
      <c r="G266" s="5">
        <v>153.30000000000001</v>
      </c>
      <c r="H266" s="5">
        <v>138.19999999999999</v>
      </c>
      <c r="I266" s="5">
        <v>143.19999999999999</v>
      </c>
      <c r="J266" s="5">
        <v>148.9</v>
      </c>
      <c r="K266" s="5">
        <v>150.30000000000001</v>
      </c>
      <c r="L266" s="5">
        <v>113.2</v>
      </c>
      <c r="M266" s="5">
        <v>159.80000000000001</v>
      </c>
      <c r="N266" s="5">
        <v>142.1</v>
      </c>
      <c r="O266" s="5">
        <v>161.80000000000001</v>
      </c>
      <c r="P266" s="5">
        <v>152.30000000000001</v>
      </c>
      <c r="Q266" s="5">
        <v>182.4</v>
      </c>
      <c r="R266" s="5">
        <v>154.69999999999999</v>
      </c>
      <c r="S266" s="5">
        <v>150</v>
      </c>
      <c r="T266" s="5">
        <v>154.1</v>
      </c>
      <c r="U266" s="5" t="s">
        <v>32</v>
      </c>
      <c r="V266" s="5">
        <v>144.9</v>
      </c>
      <c r="W266" s="5">
        <v>151.69999999999999</v>
      </c>
      <c r="X266" s="5">
        <v>158.19999999999999</v>
      </c>
      <c r="Y266" s="5">
        <v>141.4</v>
      </c>
      <c r="Z266" s="5">
        <v>153.19999999999999</v>
      </c>
      <c r="AA266" s="5">
        <v>161.80000000000001</v>
      </c>
      <c r="AB266" s="5">
        <v>151.19999999999999</v>
      </c>
      <c r="AC266" s="5">
        <v>151.69999999999999</v>
      </c>
      <c r="AD266" s="5">
        <v>152.69999999999999</v>
      </c>
    </row>
    <row r="267" spans="1:30" x14ac:dyDescent="0.3">
      <c r="A267" s="6" t="s">
        <v>33</v>
      </c>
      <c r="B267" s="6">
        <v>2020</v>
      </c>
      <c r="C267" s="6" t="s">
        <v>39</v>
      </c>
      <c r="D267" s="6">
        <v>152.69999999999999</v>
      </c>
      <c r="E267" s="6">
        <v>197</v>
      </c>
      <c r="F267" s="6">
        <v>154.6</v>
      </c>
      <c r="G267" s="6">
        <v>153.4</v>
      </c>
      <c r="H267" s="6">
        <v>132.9</v>
      </c>
      <c r="I267" s="6">
        <v>151.80000000000001</v>
      </c>
      <c r="J267" s="6">
        <v>171.2</v>
      </c>
      <c r="K267" s="6">
        <v>152</v>
      </c>
      <c r="L267" s="6">
        <v>116.3</v>
      </c>
      <c r="M267" s="6">
        <v>158.80000000000001</v>
      </c>
      <c r="N267" s="6">
        <v>135.6</v>
      </c>
      <c r="O267" s="6">
        <v>161.69999999999999</v>
      </c>
      <c r="P267" s="6">
        <v>157</v>
      </c>
      <c r="Q267" s="6">
        <v>186.7</v>
      </c>
      <c r="R267" s="6">
        <v>149.1</v>
      </c>
      <c r="S267" s="6">
        <v>136.6</v>
      </c>
      <c r="T267" s="6">
        <v>147.19999999999999</v>
      </c>
      <c r="U267" s="6">
        <v>154.69999999999999</v>
      </c>
      <c r="V267" s="6">
        <v>137.1</v>
      </c>
      <c r="W267" s="6">
        <v>140.4</v>
      </c>
      <c r="X267" s="6">
        <v>148.1</v>
      </c>
      <c r="Y267" s="6">
        <v>129.30000000000001</v>
      </c>
      <c r="Z267" s="6">
        <v>144.5</v>
      </c>
      <c r="AA267" s="6">
        <v>152.5</v>
      </c>
      <c r="AB267" s="6">
        <v>152.19999999999999</v>
      </c>
      <c r="AC267" s="6">
        <v>142</v>
      </c>
      <c r="AD267" s="6">
        <v>150.80000000000001</v>
      </c>
    </row>
    <row r="268" spans="1:30" x14ac:dyDescent="0.3">
      <c r="A268" s="5" t="s">
        <v>34</v>
      </c>
      <c r="B268" s="5">
        <v>2020</v>
      </c>
      <c r="C268" s="5" t="s">
        <v>39</v>
      </c>
      <c r="D268" s="5">
        <v>149.6</v>
      </c>
      <c r="E268" s="5">
        <v>192.7</v>
      </c>
      <c r="F268" s="5">
        <v>151.4</v>
      </c>
      <c r="G268" s="5">
        <v>153.30000000000001</v>
      </c>
      <c r="H268" s="5">
        <v>136.30000000000001</v>
      </c>
      <c r="I268" s="5">
        <v>147.19999999999999</v>
      </c>
      <c r="J268" s="5">
        <v>156.5</v>
      </c>
      <c r="K268" s="5">
        <v>150.9</v>
      </c>
      <c r="L268" s="5">
        <v>114.2</v>
      </c>
      <c r="M268" s="5">
        <v>159.5</v>
      </c>
      <c r="N268" s="5">
        <v>139.4</v>
      </c>
      <c r="O268" s="5">
        <v>161.80000000000001</v>
      </c>
      <c r="P268" s="5">
        <v>154</v>
      </c>
      <c r="Q268" s="5">
        <v>183.5</v>
      </c>
      <c r="R268" s="5">
        <v>152.5</v>
      </c>
      <c r="S268" s="5">
        <v>144.4</v>
      </c>
      <c r="T268" s="5">
        <v>151.4</v>
      </c>
      <c r="U268" s="5">
        <v>154.69999999999999</v>
      </c>
      <c r="V268" s="5">
        <v>141.9</v>
      </c>
      <c r="W268" s="5">
        <v>146.4</v>
      </c>
      <c r="X268" s="5">
        <v>154.4</v>
      </c>
      <c r="Y268" s="5">
        <v>135</v>
      </c>
      <c r="Z268" s="5">
        <v>148.30000000000001</v>
      </c>
      <c r="AA268" s="5">
        <v>156.4</v>
      </c>
      <c r="AB268" s="5">
        <v>151.6</v>
      </c>
      <c r="AC268" s="5">
        <v>147</v>
      </c>
      <c r="AD268" s="5">
        <v>151.80000000000001</v>
      </c>
    </row>
    <row r="269" spans="1:30" x14ac:dyDescent="0.3">
      <c r="A269" s="6" t="s">
        <v>30</v>
      </c>
      <c r="B269" s="6">
        <v>2020</v>
      </c>
      <c r="C269" s="6" t="s">
        <v>40</v>
      </c>
      <c r="D269" s="6">
        <v>148.19999999999999</v>
      </c>
      <c r="E269" s="6">
        <v>190.3</v>
      </c>
      <c r="F269" s="6">
        <v>149.4</v>
      </c>
      <c r="G269" s="6">
        <v>153.30000000000001</v>
      </c>
      <c r="H269" s="6">
        <v>138.19999999999999</v>
      </c>
      <c r="I269" s="6">
        <v>143.19999999999999</v>
      </c>
      <c r="J269" s="6">
        <v>148.9</v>
      </c>
      <c r="K269" s="6">
        <v>150.30000000000001</v>
      </c>
      <c r="L269" s="6">
        <v>113.2</v>
      </c>
      <c r="M269" s="6">
        <v>159.80000000000001</v>
      </c>
      <c r="N269" s="6">
        <v>142.1</v>
      </c>
      <c r="O269" s="6">
        <v>161.80000000000001</v>
      </c>
      <c r="P269" s="6">
        <v>152.30000000000001</v>
      </c>
      <c r="Q269" s="6">
        <v>182.4</v>
      </c>
      <c r="R269" s="6">
        <v>154.69999999999999</v>
      </c>
      <c r="S269" s="6">
        <v>150</v>
      </c>
      <c r="T269" s="6">
        <v>154.1</v>
      </c>
      <c r="U269" s="6" t="s">
        <v>32</v>
      </c>
      <c r="V269" s="6">
        <v>144.9</v>
      </c>
      <c r="W269" s="6">
        <v>151.69999999999999</v>
      </c>
      <c r="X269" s="6">
        <v>158.19999999999999</v>
      </c>
      <c r="Y269" s="6">
        <v>141.4</v>
      </c>
      <c r="Z269" s="6">
        <v>153.19999999999999</v>
      </c>
      <c r="AA269" s="6">
        <v>161.80000000000001</v>
      </c>
      <c r="AB269" s="6">
        <v>151.19999999999999</v>
      </c>
      <c r="AC269" s="6">
        <v>151.69999999999999</v>
      </c>
      <c r="AD269" s="6">
        <v>152.69999999999999</v>
      </c>
    </row>
    <row r="270" spans="1:30" x14ac:dyDescent="0.3">
      <c r="A270" s="5" t="s">
        <v>33</v>
      </c>
      <c r="B270" s="5">
        <v>2020</v>
      </c>
      <c r="C270" s="5" t="s">
        <v>40</v>
      </c>
      <c r="D270" s="5">
        <v>152.69999999999999</v>
      </c>
      <c r="E270" s="5">
        <v>197</v>
      </c>
      <c r="F270" s="5">
        <v>154.6</v>
      </c>
      <c r="G270" s="5">
        <v>153.4</v>
      </c>
      <c r="H270" s="5">
        <v>132.9</v>
      </c>
      <c r="I270" s="5">
        <v>151.80000000000001</v>
      </c>
      <c r="J270" s="5">
        <v>171.2</v>
      </c>
      <c r="K270" s="5">
        <v>152</v>
      </c>
      <c r="L270" s="5">
        <v>116.3</v>
      </c>
      <c r="M270" s="5">
        <v>158.80000000000001</v>
      </c>
      <c r="N270" s="5">
        <v>135.6</v>
      </c>
      <c r="O270" s="5">
        <v>161.69999999999999</v>
      </c>
      <c r="P270" s="5">
        <v>157</v>
      </c>
      <c r="Q270" s="5">
        <v>186.7</v>
      </c>
      <c r="R270" s="5">
        <v>149.1</v>
      </c>
      <c r="S270" s="5">
        <v>136.6</v>
      </c>
      <c r="T270" s="5">
        <v>147.19999999999999</v>
      </c>
      <c r="U270" s="5">
        <v>154.69999999999999</v>
      </c>
      <c r="V270" s="5">
        <v>137.1</v>
      </c>
      <c r="W270" s="5">
        <v>140.4</v>
      </c>
      <c r="X270" s="5">
        <v>148.1</v>
      </c>
      <c r="Y270" s="5">
        <v>129.30000000000001</v>
      </c>
      <c r="Z270" s="5">
        <v>144.5</v>
      </c>
      <c r="AA270" s="5">
        <v>152.5</v>
      </c>
      <c r="AB270" s="5">
        <v>152.19999999999999</v>
      </c>
      <c r="AC270" s="5">
        <v>142</v>
      </c>
      <c r="AD270" s="5">
        <v>150.80000000000001</v>
      </c>
    </row>
    <row r="271" spans="1:30" x14ac:dyDescent="0.3">
      <c r="A271" s="6" t="s">
        <v>34</v>
      </c>
      <c r="B271" s="6">
        <v>2020</v>
      </c>
      <c r="C271" s="6" t="s">
        <v>40</v>
      </c>
      <c r="D271" s="6">
        <v>149.6</v>
      </c>
      <c r="E271" s="6">
        <v>192.7</v>
      </c>
      <c r="F271" s="6">
        <v>151.4</v>
      </c>
      <c r="G271" s="6">
        <v>153.30000000000001</v>
      </c>
      <c r="H271" s="6">
        <v>136.30000000000001</v>
      </c>
      <c r="I271" s="6">
        <v>147.19999999999999</v>
      </c>
      <c r="J271" s="6">
        <v>156.5</v>
      </c>
      <c r="K271" s="6">
        <v>150.9</v>
      </c>
      <c r="L271" s="6">
        <v>114.2</v>
      </c>
      <c r="M271" s="6">
        <v>159.5</v>
      </c>
      <c r="N271" s="6">
        <v>139.4</v>
      </c>
      <c r="O271" s="6">
        <v>161.80000000000001</v>
      </c>
      <c r="P271" s="6">
        <v>154</v>
      </c>
      <c r="Q271" s="6">
        <v>183.5</v>
      </c>
      <c r="R271" s="6">
        <v>152.5</v>
      </c>
      <c r="S271" s="6">
        <v>144.4</v>
      </c>
      <c r="T271" s="6">
        <v>151.4</v>
      </c>
      <c r="U271" s="6">
        <v>154.69999999999999</v>
      </c>
      <c r="V271" s="6">
        <v>141.9</v>
      </c>
      <c r="W271" s="6">
        <v>146.4</v>
      </c>
      <c r="X271" s="6">
        <v>154.4</v>
      </c>
      <c r="Y271" s="6">
        <v>135</v>
      </c>
      <c r="Z271" s="6">
        <v>148.30000000000001</v>
      </c>
      <c r="AA271" s="6">
        <v>156.4</v>
      </c>
      <c r="AB271" s="6">
        <v>151.6</v>
      </c>
      <c r="AC271" s="6">
        <v>147</v>
      </c>
      <c r="AD271" s="6">
        <v>151.80000000000001</v>
      </c>
    </row>
    <row r="272" spans="1:30" x14ac:dyDescent="0.3">
      <c r="A272" s="5" t="s">
        <v>30</v>
      </c>
      <c r="B272" s="5">
        <v>2020</v>
      </c>
      <c r="C272" s="5" t="s">
        <v>41</v>
      </c>
      <c r="D272" s="5">
        <v>147.6</v>
      </c>
      <c r="E272" s="5">
        <v>187.2</v>
      </c>
      <c r="F272" s="5">
        <v>148.4</v>
      </c>
      <c r="G272" s="5">
        <v>153.30000000000001</v>
      </c>
      <c r="H272" s="5">
        <v>139.80000000000001</v>
      </c>
      <c r="I272" s="5">
        <v>146.9</v>
      </c>
      <c r="J272" s="5">
        <v>171</v>
      </c>
      <c r="K272" s="5">
        <v>149.9</v>
      </c>
      <c r="L272" s="5">
        <v>114.2</v>
      </c>
      <c r="M272" s="5">
        <v>160</v>
      </c>
      <c r="N272" s="5">
        <v>143.5</v>
      </c>
      <c r="O272" s="5">
        <v>161.5</v>
      </c>
      <c r="P272" s="5">
        <v>155.30000000000001</v>
      </c>
      <c r="Q272" s="5">
        <v>180.9</v>
      </c>
      <c r="R272" s="5">
        <v>155.1</v>
      </c>
      <c r="S272" s="5">
        <v>149.30000000000001</v>
      </c>
      <c r="T272" s="5">
        <v>154.30000000000001</v>
      </c>
      <c r="U272" s="5" t="s">
        <v>32</v>
      </c>
      <c r="V272" s="5">
        <v>145.80000000000001</v>
      </c>
      <c r="W272" s="5">
        <v>151.9</v>
      </c>
      <c r="X272" s="5">
        <v>158.80000000000001</v>
      </c>
      <c r="Y272" s="5">
        <v>143.6</v>
      </c>
      <c r="Z272" s="5">
        <v>152.19999999999999</v>
      </c>
      <c r="AA272" s="5">
        <v>162.69999999999999</v>
      </c>
      <c r="AB272" s="5">
        <v>153.6</v>
      </c>
      <c r="AC272" s="5">
        <v>153</v>
      </c>
      <c r="AD272" s="5">
        <v>154.69999999999999</v>
      </c>
    </row>
    <row r="273" spans="1:30" x14ac:dyDescent="0.3">
      <c r="A273" s="6" t="s">
        <v>33</v>
      </c>
      <c r="B273" s="6">
        <v>2020</v>
      </c>
      <c r="C273" s="6" t="s">
        <v>41</v>
      </c>
      <c r="D273" s="6">
        <v>151.6</v>
      </c>
      <c r="E273" s="6">
        <v>197.8</v>
      </c>
      <c r="F273" s="6">
        <v>154.5</v>
      </c>
      <c r="G273" s="6">
        <v>153.4</v>
      </c>
      <c r="H273" s="6">
        <v>133.4</v>
      </c>
      <c r="I273" s="6">
        <v>154.5</v>
      </c>
      <c r="J273" s="6">
        <v>191.9</v>
      </c>
      <c r="K273" s="6">
        <v>151.30000000000001</v>
      </c>
      <c r="L273" s="6">
        <v>116.8</v>
      </c>
      <c r="M273" s="6">
        <v>160</v>
      </c>
      <c r="N273" s="6">
        <v>136.5</v>
      </c>
      <c r="O273" s="6">
        <v>163.30000000000001</v>
      </c>
      <c r="P273" s="6">
        <v>159.9</v>
      </c>
      <c r="Q273" s="6">
        <v>187.2</v>
      </c>
      <c r="R273" s="6">
        <v>150</v>
      </c>
      <c r="S273" s="6">
        <v>135.19999999999999</v>
      </c>
      <c r="T273" s="6">
        <v>147.80000000000001</v>
      </c>
      <c r="U273" s="6">
        <v>155.5</v>
      </c>
      <c r="V273" s="6">
        <v>138.30000000000001</v>
      </c>
      <c r="W273" s="6">
        <v>144.5</v>
      </c>
      <c r="X273" s="6">
        <v>148.69999999999999</v>
      </c>
      <c r="Y273" s="6">
        <v>133.9</v>
      </c>
      <c r="Z273" s="6">
        <v>141.19999999999999</v>
      </c>
      <c r="AA273" s="6">
        <v>155.5</v>
      </c>
      <c r="AB273" s="6">
        <v>155.19999999999999</v>
      </c>
      <c r="AC273" s="6">
        <v>144.80000000000001</v>
      </c>
      <c r="AD273" s="6">
        <v>152.9</v>
      </c>
    </row>
    <row r="274" spans="1:30" x14ac:dyDescent="0.3">
      <c r="A274" s="5" t="s">
        <v>34</v>
      </c>
      <c r="B274" s="5">
        <v>2020</v>
      </c>
      <c r="C274" s="5" t="s">
        <v>41</v>
      </c>
      <c r="D274" s="5">
        <v>148.9</v>
      </c>
      <c r="E274" s="5">
        <v>190.9</v>
      </c>
      <c r="F274" s="5">
        <v>150.80000000000001</v>
      </c>
      <c r="G274" s="5">
        <v>153.30000000000001</v>
      </c>
      <c r="H274" s="5">
        <v>137.4</v>
      </c>
      <c r="I274" s="5">
        <v>150.4</v>
      </c>
      <c r="J274" s="5">
        <v>178.1</v>
      </c>
      <c r="K274" s="5">
        <v>150.4</v>
      </c>
      <c r="L274" s="5">
        <v>115.1</v>
      </c>
      <c r="M274" s="5">
        <v>160</v>
      </c>
      <c r="N274" s="5">
        <v>140.6</v>
      </c>
      <c r="O274" s="5">
        <v>162.30000000000001</v>
      </c>
      <c r="P274" s="5">
        <v>157</v>
      </c>
      <c r="Q274" s="5">
        <v>182.6</v>
      </c>
      <c r="R274" s="5">
        <v>153.1</v>
      </c>
      <c r="S274" s="5">
        <v>143.4</v>
      </c>
      <c r="T274" s="5">
        <v>151.69999999999999</v>
      </c>
      <c r="U274" s="5">
        <v>155.5</v>
      </c>
      <c r="V274" s="5">
        <v>143</v>
      </c>
      <c r="W274" s="5">
        <v>148.4</v>
      </c>
      <c r="X274" s="5">
        <v>155</v>
      </c>
      <c r="Y274" s="5">
        <v>138.5</v>
      </c>
      <c r="Z274" s="5">
        <v>146</v>
      </c>
      <c r="AA274" s="5">
        <v>158.5</v>
      </c>
      <c r="AB274" s="5">
        <v>154.30000000000001</v>
      </c>
      <c r="AC274" s="5">
        <v>149</v>
      </c>
      <c r="AD274" s="5">
        <v>153.9</v>
      </c>
    </row>
    <row r="275" spans="1:30" x14ac:dyDescent="0.3">
      <c r="A275" s="6" t="s">
        <v>30</v>
      </c>
      <c r="B275" s="6">
        <v>2020</v>
      </c>
      <c r="C275" s="6" t="s">
        <v>42</v>
      </c>
      <c r="D275" s="6">
        <v>146.9</v>
      </c>
      <c r="E275" s="6">
        <v>183.9</v>
      </c>
      <c r="F275" s="6">
        <v>149.5</v>
      </c>
      <c r="G275" s="6">
        <v>153.4</v>
      </c>
      <c r="H275" s="6">
        <v>140.4</v>
      </c>
      <c r="I275" s="6">
        <v>147</v>
      </c>
      <c r="J275" s="6">
        <v>178.8</v>
      </c>
      <c r="K275" s="6">
        <v>149.30000000000001</v>
      </c>
      <c r="L275" s="6">
        <v>115.1</v>
      </c>
      <c r="M275" s="6">
        <v>160</v>
      </c>
      <c r="N275" s="6">
        <v>145.4</v>
      </c>
      <c r="O275" s="6">
        <v>161.6</v>
      </c>
      <c r="P275" s="6">
        <v>156.1</v>
      </c>
      <c r="Q275" s="6">
        <v>182.9</v>
      </c>
      <c r="R275" s="6">
        <v>155.4</v>
      </c>
      <c r="S275" s="6">
        <v>149.9</v>
      </c>
      <c r="T275" s="6">
        <v>154.6</v>
      </c>
      <c r="U275" s="6" t="s">
        <v>32</v>
      </c>
      <c r="V275" s="6">
        <v>146.4</v>
      </c>
      <c r="W275" s="6">
        <v>151.6</v>
      </c>
      <c r="X275" s="6">
        <v>159.1</v>
      </c>
      <c r="Y275" s="6">
        <v>144.6</v>
      </c>
      <c r="Z275" s="6">
        <v>152.80000000000001</v>
      </c>
      <c r="AA275" s="6">
        <v>161.1</v>
      </c>
      <c r="AB275" s="6">
        <v>157.4</v>
      </c>
      <c r="AC275" s="6">
        <v>153.69999999999999</v>
      </c>
      <c r="AD275" s="6">
        <v>155.4</v>
      </c>
    </row>
    <row r="276" spans="1:30" x14ac:dyDescent="0.3">
      <c r="A276" s="5" t="s">
        <v>33</v>
      </c>
      <c r="B276" s="5">
        <v>2020</v>
      </c>
      <c r="C276" s="5" t="s">
        <v>42</v>
      </c>
      <c r="D276" s="5">
        <v>151.5</v>
      </c>
      <c r="E276" s="5">
        <v>193.1</v>
      </c>
      <c r="F276" s="5">
        <v>157.30000000000001</v>
      </c>
      <c r="G276" s="5">
        <v>153.9</v>
      </c>
      <c r="H276" s="5">
        <v>134.4</v>
      </c>
      <c r="I276" s="5">
        <v>155.4</v>
      </c>
      <c r="J276" s="5">
        <v>202</v>
      </c>
      <c r="K276" s="5">
        <v>150.80000000000001</v>
      </c>
      <c r="L276" s="5">
        <v>118.9</v>
      </c>
      <c r="M276" s="5">
        <v>160.9</v>
      </c>
      <c r="N276" s="5">
        <v>137.69999999999999</v>
      </c>
      <c r="O276" s="5">
        <v>164.4</v>
      </c>
      <c r="P276" s="5">
        <v>161.30000000000001</v>
      </c>
      <c r="Q276" s="5">
        <v>188.7</v>
      </c>
      <c r="R276" s="5">
        <v>150.19999999999999</v>
      </c>
      <c r="S276" s="5">
        <v>136.30000000000001</v>
      </c>
      <c r="T276" s="5">
        <v>148.1</v>
      </c>
      <c r="U276" s="5">
        <v>156.30000000000001</v>
      </c>
      <c r="V276" s="5">
        <v>137.19999999999999</v>
      </c>
      <c r="W276" s="5">
        <v>145.4</v>
      </c>
      <c r="X276" s="5">
        <v>150</v>
      </c>
      <c r="Y276" s="5">
        <v>135.1</v>
      </c>
      <c r="Z276" s="5">
        <v>141.80000000000001</v>
      </c>
      <c r="AA276" s="5">
        <v>154.9</v>
      </c>
      <c r="AB276" s="5">
        <v>159.80000000000001</v>
      </c>
      <c r="AC276" s="5">
        <v>146</v>
      </c>
      <c r="AD276" s="5">
        <v>154</v>
      </c>
    </row>
    <row r="277" spans="1:30" x14ac:dyDescent="0.3">
      <c r="A277" s="6" t="s">
        <v>34</v>
      </c>
      <c r="B277" s="6">
        <v>2020</v>
      </c>
      <c r="C277" s="6" t="s">
        <v>42</v>
      </c>
      <c r="D277" s="6">
        <v>148.4</v>
      </c>
      <c r="E277" s="6">
        <v>187.1</v>
      </c>
      <c r="F277" s="6">
        <v>152.5</v>
      </c>
      <c r="G277" s="6">
        <v>153.6</v>
      </c>
      <c r="H277" s="6">
        <v>138.19999999999999</v>
      </c>
      <c r="I277" s="6">
        <v>150.9</v>
      </c>
      <c r="J277" s="6">
        <v>186.7</v>
      </c>
      <c r="K277" s="6">
        <v>149.80000000000001</v>
      </c>
      <c r="L277" s="6">
        <v>116.4</v>
      </c>
      <c r="M277" s="6">
        <v>160.30000000000001</v>
      </c>
      <c r="N277" s="6">
        <v>142.19999999999999</v>
      </c>
      <c r="O277" s="6">
        <v>162.9</v>
      </c>
      <c r="P277" s="6">
        <v>158</v>
      </c>
      <c r="Q277" s="6">
        <v>184.4</v>
      </c>
      <c r="R277" s="6">
        <v>153.4</v>
      </c>
      <c r="S277" s="6">
        <v>144.30000000000001</v>
      </c>
      <c r="T277" s="6">
        <v>152</v>
      </c>
      <c r="U277" s="6">
        <v>156.30000000000001</v>
      </c>
      <c r="V277" s="6">
        <v>142.9</v>
      </c>
      <c r="W277" s="6">
        <v>148.69999999999999</v>
      </c>
      <c r="X277" s="6">
        <v>155.6</v>
      </c>
      <c r="Y277" s="6">
        <v>139.6</v>
      </c>
      <c r="Z277" s="6">
        <v>146.6</v>
      </c>
      <c r="AA277" s="6">
        <v>157.5</v>
      </c>
      <c r="AB277" s="6">
        <v>158.4</v>
      </c>
      <c r="AC277" s="6">
        <v>150</v>
      </c>
      <c r="AD277" s="6">
        <v>154.69999999999999</v>
      </c>
    </row>
    <row r="278" spans="1:30" x14ac:dyDescent="0.3">
      <c r="A278" s="5" t="s">
        <v>30</v>
      </c>
      <c r="B278" s="5">
        <v>2020</v>
      </c>
      <c r="C278" s="5" t="s">
        <v>43</v>
      </c>
      <c r="D278" s="5">
        <v>146</v>
      </c>
      <c r="E278" s="5">
        <v>186.3</v>
      </c>
      <c r="F278" s="5">
        <v>159.19999999999999</v>
      </c>
      <c r="G278" s="5">
        <v>153.6</v>
      </c>
      <c r="H278" s="5">
        <v>142.6</v>
      </c>
      <c r="I278" s="5">
        <v>147.19999999999999</v>
      </c>
      <c r="J278" s="5">
        <v>200.6</v>
      </c>
      <c r="K278" s="5">
        <v>150.30000000000001</v>
      </c>
      <c r="L278" s="5">
        <v>115.3</v>
      </c>
      <c r="M278" s="5">
        <v>160.9</v>
      </c>
      <c r="N278" s="5">
        <v>147.4</v>
      </c>
      <c r="O278" s="5">
        <v>161.9</v>
      </c>
      <c r="P278" s="5">
        <v>159.6</v>
      </c>
      <c r="Q278" s="5">
        <v>182.7</v>
      </c>
      <c r="R278" s="5">
        <v>155.69999999999999</v>
      </c>
      <c r="S278" s="5">
        <v>150.6</v>
      </c>
      <c r="T278" s="5">
        <v>155</v>
      </c>
      <c r="U278" s="5" t="s">
        <v>32</v>
      </c>
      <c r="V278" s="5">
        <v>146.80000000000001</v>
      </c>
      <c r="W278" s="5">
        <v>152</v>
      </c>
      <c r="X278" s="5">
        <v>159.5</v>
      </c>
      <c r="Y278" s="5">
        <v>146.4</v>
      </c>
      <c r="Z278" s="5">
        <v>152.4</v>
      </c>
      <c r="AA278" s="5">
        <v>162.5</v>
      </c>
      <c r="AB278" s="5">
        <v>156.19999999999999</v>
      </c>
      <c r="AC278" s="5">
        <v>154.30000000000001</v>
      </c>
      <c r="AD278" s="5">
        <v>157.5</v>
      </c>
    </row>
    <row r="279" spans="1:30" x14ac:dyDescent="0.3">
      <c r="A279" s="6" t="s">
        <v>33</v>
      </c>
      <c r="B279" s="6">
        <v>2020</v>
      </c>
      <c r="C279" s="6" t="s">
        <v>43</v>
      </c>
      <c r="D279" s="6">
        <v>150.6</v>
      </c>
      <c r="E279" s="6">
        <v>193.7</v>
      </c>
      <c r="F279" s="6">
        <v>164.8</v>
      </c>
      <c r="G279" s="6">
        <v>153.69999999999999</v>
      </c>
      <c r="H279" s="6">
        <v>135.69999999999999</v>
      </c>
      <c r="I279" s="6">
        <v>155.69999999999999</v>
      </c>
      <c r="J279" s="6">
        <v>226</v>
      </c>
      <c r="K279" s="6">
        <v>152.19999999999999</v>
      </c>
      <c r="L279" s="6">
        <v>118.1</v>
      </c>
      <c r="M279" s="6">
        <v>161.30000000000001</v>
      </c>
      <c r="N279" s="6">
        <v>139.19999999999999</v>
      </c>
      <c r="O279" s="6">
        <v>164.8</v>
      </c>
      <c r="P279" s="6">
        <v>164.4</v>
      </c>
      <c r="Q279" s="6">
        <v>188.7</v>
      </c>
      <c r="R279" s="6">
        <v>150.5</v>
      </c>
      <c r="S279" s="6">
        <v>136.1</v>
      </c>
      <c r="T279" s="6">
        <v>148.30000000000001</v>
      </c>
      <c r="U279" s="6">
        <v>156.5</v>
      </c>
      <c r="V279" s="6">
        <v>137.1</v>
      </c>
      <c r="W279" s="6">
        <v>145.1</v>
      </c>
      <c r="X279" s="6">
        <v>151</v>
      </c>
      <c r="Y279" s="6">
        <v>135.4</v>
      </c>
      <c r="Z279" s="6">
        <v>142</v>
      </c>
      <c r="AA279" s="6">
        <v>155.69999999999999</v>
      </c>
      <c r="AB279" s="6">
        <v>158.1</v>
      </c>
      <c r="AC279" s="6">
        <v>146.19999999999999</v>
      </c>
      <c r="AD279" s="6">
        <v>155.19999999999999</v>
      </c>
    </row>
    <row r="280" spans="1:30" x14ac:dyDescent="0.3">
      <c r="A280" s="5" t="s">
        <v>34</v>
      </c>
      <c r="B280" s="5">
        <v>2020</v>
      </c>
      <c r="C280" s="5" t="s">
        <v>43</v>
      </c>
      <c r="D280" s="5">
        <v>147.5</v>
      </c>
      <c r="E280" s="5">
        <v>188.9</v>
      </c>
      <c r="F280" s="5">
        <v>161.4</v>
      </c>
      <c r="G280" s="5">
        <v>153.6</v>
      </c>
      <c r="H280" s="5">
        <v>140.1</v>
      </c>
      <c r="I280" s="5">
        <v>151.19999999999999</v>
      </c>
      <c r="J280" s="5">
        <v>209.2</v>
      </c>
      <c r="K280" s="5">
        <v>150.9</v>
      </c>
      <c r="L280" s="5">
        <v>116.2</v>
      </c>
      <c r="M280" s="5">
        <v>161</v>
      </c>
      <c r="N280" s="5">
        <v>144</v>
      </c>
      <c r="O280" s="5">
        <v>163.19999999999999</v>
      </c>
      <c r="P280" s="5">
        <v>161.4</v>
      </c>
      <c r="Q280" s="5">
        <v>184.3</v>
      </c>
      <c r="R280" s="5">
        <v>153.69999999999999</v>
      </c>
      <c r="S280" s="5">
        <v>144.6</v>
      </c>
      <c r="T280" s="5">
        <v>152.30000000000001</v>
      </c>
      <c r="U280" s="5">
        <v>156.5</v>
      </c>
      <c r="V280" s="5">
        <v>143.1</v>
      </c>
      <c r="W280" s="5">
        <v>148.69999999999999</v>
      </c>
      <c r="X280" s="5">
        <v>156.30000000000001</v>
      </c>
      <c r="Y280" s="5">
        <v>140.6</v>
      </c>
      <c r="Z280" s="5">
        <v>146.5</v>
      </c>
      <c r="AA280" s="5">
        <v>158.5</v>
      </c>
      <c r="AB280" s="5">
        <v>157</v>
      </c>
      <c r="AC280" s="5">
        <v>150.4</v>
      </c>
      <c r="AD280" s="5">
        <v>156.4</v>
      </c>
    </row>
    <row r="281" spans="1:30" x14ac:dyDescent="0.3">
      <c r="A281" s="6" t="s">
        <v>30</v>
      </c>
      <c r="B281" s="6">
        <v>2020</v>
      </c>
      <c r="C281" s="6" t="s">
        <v>45</v>
      </c>
      <c r="D281" s="6">
        <v>145.4</v>
      </c>
      <c r="E281" s="6">
        <v>188.6</v>
      </c>
      <c r="F281" s="6">
        <v>171.6</v>
      </c>
      <c r="G281" s="6">
        <v>153.80000000000001</v>
      </c>
      <c r="H281" s="6">
        <v>145.4</v>
      </c>
      <c r="I281" s="6">
        <v>146.5</v>
      </c>
      <c r="J281" s="6">
        <v>222.2</v>
      </c>
      <c r="K281" s="6">
        <v>155.9</v>
      </c>
      <c r="L281" s="6">
        <v>114.9</v>
      </c>
      <c r="M281" s="6">
        <v>162</v>
      </c>
      <c r="N281" s="6">
        <v>150</v>
      </c>
      <c r="O281" s="6">
        <v>162.69999999999999</v>
      </c>
      <c r="P281" s="6">
        <v>163.4</v>
      </c>
      <c r="Q281" s="6">
        <v>183.4</v>
      </c>
      <c r="R281" s="6">
        <v>156.30000000000001</v>
      </c>
      <c r="S281" s="6">
        <v>151</v>
      </c>
      <c r="T281" s="6">
        <v>155.5</v>
      </c>
      <c r="U281" s="6" t="s">
        <v>32</v>
      </c>
      <c r="V281" s="6">
        <v>147.5</v>
      </c>
      <c r="W281" s="6">
        <v>152.80000000000001</v>
      </c>
      <c r="X281" s="6">
        <v>160.4</v>
      </c>
      <c r="Y281" s="6">
        <v>146.1</v>
      </c>
      <c r="Z281" s="6">
        <v>153.6</v>
      </c>
      <c r="AA281" s="6">
        <v>161.6</v>
      </c>
      <c r="AB281" s="6">
        <v>156.19999999999999</v>
      </c>
      <c r="AC281" s="6">
        <v>154.5</v>
      </c>
      <c r="AD281" s="6">
        <v>159.80000000000001</v>
      </c>
    </row>
    <row r="282" spans="1:30" x14ac:dyDescent="0.3">
      <c r="A282" s="5" t="s">
        <v>33</v>
      </c>
      <c r="B282" s="5">
        <v>2020</v>
      </c>
      <c r="C282" s="5" t="s">
        <v>45</v>
      </c>
      <c r="D282" s="5">
        <v>149.69999999999999</v>
      </c>
      <c r="E282" s="5">
        <v>195.5</v>
      </c>
      <c r="F282" s="5">
        <v>176.9</v>
      </c>
      <c r="G282" s="5">
        <v>153.9</v>
      </c>
      <c r="H282" s="5">
        <v>138</v>
      </c>
      <c r="I282" s="5">
        <v>150.5</v>
      </c>
      <c r="J282" s="5">
        <v>245.3</v>
      </c>
      <c r="K282" s="5">
        <v>158.69999999999999</v>
      </c>
      <c r="L282" s="5">
        <v>117.2</v>
      </c>
      <c r="M282" s="5">
        <v>161.4</v>
      </c>
      <c r="N282" s="5">
        <v>141.5</v>
      </c>
      <c r="O282" s="5">
        <v>165.1</v>
      </c>
      <c r="P282" s="5">
        <v>167</v>
      </c>
      <c r="Q282" s="5">
        <v>188.8</v>
      </c>
      <c r="R282" s="5">
        <v>151.1</v>
      </c>
      <c r="S282" s="5">
        <v>136.4</v>
      </c>
      <c r="T282" s="5">
        <v>148.80000000000001</v>
      </c>
      <c r="U282" s="5">
        <v>158</v>
      </c>
      <c r="V282" s="5">
        <v>137.30000000000001</v>
      </c>
      <c r="W282" s="5">
        <v>145.1</v>
      </c>
      <c r="X282" s="5">
        <v>152</v>
      </c>
      <c r="Y282" s="5">
        <v>135.19999999999999</v>
      </c>
      <c r="Z282" s="5">
        <v>144.4</v>
      </c>
      <c r="AA282" s="5">
        <v>156.4</v>
      </c>
      <c r="AB282" s="5">
        <v>157.9</v>
      </c>
      <c r="AC282" s="5">
        <v>146.6</v>
      </c>
      <c r="AD282" s="5">
        <v>156.69999999999999</v>
      </c>
    </row>
    <row r="283" spans="1:30" x14ac:dyDescent="0.3">
      <c r="A283" s="6" t="s">
        <v>34</v>
      </c>
      <c r="B283" s="6">
        <v>2020</v>
      </c>
      <c r="C283" s="6" t="s">
        <v>45</v>
      </c>
      <c r="D283" s="6">
        <v>146.80000000000001</v>
      </c>
      <c r="E283" s="6">
        <v>191</v>
      </c>
      <c r="F283" s="6">
        <v>173.6</v>
      </c>
      <c r="G283" s="6">
        <v>153.80000000000001</v>
      </c>
      <c r="H283" s="6">
        <v>142.69999999999999</v>
      </c>
      <c r="I283" s="6">
        <v>148.4</v>
      </c>
      <c r="J283" s="6">
        <v>230</v>
      </c>
      <c r="K283" s="6">
        <v>156.80000000000001</v>
      </c>
      <c r="L283" s="6">
        <v>115.7</v>
      </c>
      <c r="M283" s="6">
        <v>161.80000000000001</v>
      </c>
      <c r="N283" s="6">
        <v>146.5</v>
      </c>
      <c r="O283" s="6">
        <v>163.80000000000001</v>
      </c>
      <c r="P283" s="6">
        <v>164.7</v>
      </c>
      <c r="Q283" s="6">
        <v>184.8</v>
      </c>
      <c r="R283" s="6">
        <v>154.30000000000001</v>
      </c>
      <c r="S283" s="6">
        <v>144.9</v>
      </c>
      <c r="T283" s="6">
        <v>152.80000000000001</v>
      </c>
      <c r="U283" s="6">
        <v>158</v>
      </c>
      <c r="V283" s="6">
        <v>143.6</v>
      </c>
      <c r="W283" s="6">
        <v>149.19999999999999</v>
      </c>
      <c r="X283" s="6">
        <v>157.19999999999999</v>
      </c>
      <c r="Y283" s="6">
        <v>140.4</v>
      </c>
      <c r="Z283" s="6">
        <v>148.4</v>
      </c>
      <c r="AA283" s="6">
        <v>158.6</v>
      </c>
      <c r="AB283" s="6">
        <v>156.9</v>
      </c>
      <c r="AC283" s="6">
        <v>150.69999999999999</v>
      </c>
      <c r="AD283" s="6">
        <v>158.4</v>
      </c>
    </row>
    <row r="284" spans="1:30" x14ac:dyDescent="0.3">
      <c r="A284" s="5" t="s">
        <v>30</v>
      </c>
      <c r="B284" s="5">
        <v>2020</v>
      </c>
      <c r="C284" s="5" t="s">
        <v>46</v>
      </c>
      <c r="D284" s="5">
        <v>144.6</v>
      </c>
      <c r="E284" s="5">
        <v>188.5</v>
      </c>
      <c r="F284" s="5">
        <v>173.4</v>
      </c>
      <c r="G284" s="5">
        <v>154</v>
      </c>
      <c r="H284" s="5">
        <v>150</v>
      </c>
      <c r="I284" s="5">
        <v>145.9</v>
      </c>
      <c r="J284" s="5">
        <v>225.2</v>
      </c>
      <c r="K284" s="5">
        <v>159.5</v>
      </c>
      <c r="L284" s="5">
        <v>114.4</v>
      </c>
      <c r="M284" s="5">
        <v>163.5</v>
      </c>
      <c r="N284" s="5">
        <v>153.4</v>
      </c>
      <c r="O284" s="5">
        <v>163.6</v>
      </c>
      <c r="P284" s="5">
        <v>164.5</v>
      </c>
      <c r="Q284" s="5">
        <v>183.6</v>
      </c>
      <c r="R284" s="5">
        <v>157</v>
      </c>
      <c r="S284" s="5">
        <v>151.6</v>
      </c>
      <c r="T284" s="5">
        <v>156.30000000000001</v>
      </c>
      <c r="U284" s="5" t="s">
        <v>32</v>
      </c>
      <c r="V284" s="5">
        <v>148.69999999999999</v>
      </c>
      <c r="W284" s="5">
        <v>153.4</v>
      </c>
      <c r="X284" s="5">
        <v>161.6</v>
      </c>
      <c r="Y284" s="5">
        <v>146.4</v>
      </c>
      <c r="Z284" s="5">
        <v>153.9</v>
      </c>
      <c r="AA284" s="5">
        <v>162.9</v>
      </c>
      <c r="AB284" s="5">
        <v>156.6</v>
      </c>
      <c r="AC284" s="5">
        <v>155.19999999999999</v>
      </c>
      <c r="AD284" s="5">
        <v>160.69999999999999</v>
      </c>
    </row>
    <row r="285" spans="1:30" x14ac:dyDescent="0.3">
      <c r="A285" s="6" t="s">
        <v>33</v>
      </c>
      <c r="B285" s="6">
        <v>2020</v>
      </c>
      <c r="C285" s="6" t="s">
        <v>46</v>
      </c>
      <c r="D285" s="6">
        <v>149</v>
      </c>
      <c r="E285" s="6">
        <v>195.7</v>
      </c>
      <c r="F285" s="6">
        <v>178.3</v>
      </c>
      <c r="G285" s="6">
        <v>154.19999999999999</v>
      </c>
      <c r="H285" s="6">
        <v>140.69999999999999</v>
      </c>
      <c r="I285" s="6">
        <v>149.69999999999999</v>
      </c>
      <c r="J285" s="6">
        <v>240.9</v>
      </c>
      <c r="K285" s="6">
        <v>161.5</v>
      </c>
      <c r="L285" s="6">
        <v>117.1</v>
      </c>
      <c r="M285" s="6">
        <v>161.9</v>
      </c>
      <c r="N285" s="6">
        <v>143.30000000000001</v>
      </c>
      <c r="O285" s="6">
        <v>166.1</v>
      </c>
      <c r="P285" s="6">
        <v>167</v>
      </c>
      <c r="Q285" s="6">
        <v>190.2</v>
      </c>
      <c r="R285" s="6">
        <v>151.9</v>
      </c>
      <c r="S285" s="6">
        <v>136.69999999999999</v>
      </c>
      <c r="T285" s="6">
        <v>149.6</v>
      </c>
      <c r="U285" s="6">
        <v>158.4</v>
      </c>
      <c r="V285" s="6">
        <v>137.9</v>
      </c>
      <c r="W285" s="6">
        <v>145.5</v>
      </c>
      <c r="X285" s="6">
        <v>152.9</v>
      </c>
      <c r="Y285" s="6">
        <v>135.5</v>
      </c>
      <c r="Z285" s="6">
        <v>144.30000000000001</v>
      </c>
      <c r="AA285" s="6">
        <v>156.9</v>
      </c>
      <c r="AB285" s="6">
        <v>157.9</v>
      </c>
      <c r="AC285" s="6">
        <v>146.9</v>
      </c>
      <c r="AD285" s="6">
        <v>156.9</v>
      </c>
    </row>
    <row r="286" spans="1:30" x14ac:dyDescent="0.3">
      <c r="A286" s="5" t="s">
        <v>34</v>
      </c>
      <c r="B286" s="5">
        <v>2020</v>
      </c>
      <c r="C286" s="5" t="s">
        <v>46</v>
      </c>
      <c r="D286" s="5">
        <v>146</v>
      </c>
      <c r="E286" s="5">
        <v>191</v>
      </c>
      <c r="F286" s="5">
        <v>175.3</v>
      </c>
      <c r="G286" s="5">
        <v>154.1</v>
      </c>
      <c r="H286" s="5">
        <v>146.6</v>
      </c>
      <c r="I286" s="5">
        <v>147.69999999999999</v>
      </c>
      <c r="J286" s="5">
        <v>230.5</v>
      </c>
      <c r="K286" s="5">
        <v>160.19999999999999</v>
      </c>
      <c r="L286" s="5">
        <v>115.3</v>
      </c>
      <c r="M286" s="5">
        <v>163</v>
      </c>
      <c r="N286" s="5">
        <v>149.19999999999999</v>
      </c>
      <c r="O286" s="5">
        <v>164.8</v>
      </c>
      <c r="P286" s="5">
        <v>165.4</v>
      </c>
      <c r="Q286" s="5">
        <v>185.4</v>
      </c>
      <c r="R286" s="5">
        <v>155</v>
      </c>
      <c r="S286" s="5">
        <v>145.4</v>
      </c>
      <c r="T286" s="5">
        <v>153.6</v>
      </c>
      <c r="U286" s="5">
        <v>158.4</v>
      </c>
      <c r="V286" s="5">
        <v>144.6</v>
      </c>
      <c r="W286" s="5">
        <v>149.69999999999999</v>
      </c>
      <c r="X286" s="5">
        <v>158.30000000000001</v>
      </c>
      <c r="Y286" s="5">
        <v>140.69999999999999</v>
      </c>
      <c r="Z286" s="5">
        <v>148.5</v>
      </c>
      <c r="AA286" s="5">
        <v>159.4</v>
      </c>
      <c r="AB286" s="5">
        <v>157.1</v>
      </c>
      <c r="AC286" s="5">
        <v>151.19999999999999</v>
      </c>
      <c r="AD286" s="5">
        <v>158.9</v>
      </c>
    </row>
    <row r="287" spans="1:30" x14ac:dyDescent="0.3">
      <c r="A287" s="6" t="s">
        <v>30</v>
      </c>
      <c r="B287" s="6">
        <v>2021</v>
      </c>
      <c r="C287" s="6" t="s">
        <v>31</v>
      </c>
      <c r="D287" s="6">
        <v>143.4</v>
      </c>
      <c r="E287" s="6">
        <v>187.5</v>
      </c>
      <c r="F287" s="6">
        <v>173.4</v>
      </c>
      <c r="G287" s="6">
        <v>154</v>
      </c>
      <c r="H287" s="6">
        <v>154.80000000000001</v>
      </c>
      <c r="I287" s="6">
        <v>147</v>
      </c>
      <c r="J287" s="6">
        <v>187.8</v>
      </c>
      <c r="K287" s="6">
        <v>159.5</v>
      </c>
      <c r="L287" s="6">
        <v>113.8</v>
      </c>
      <c r="M287" s="6">
        <v>164.5</v>
      </c>
      <c r="N287" s="6">
        <v>156.1</v>
      </c>
      <c r="O287" s="6">
        <v>164.3</v>
      </c>
      <c r="P287" s="6">
        <v>159.6</v>
      </c>
      <c r="Q287" s="6">
        <v>184.6</v>
      </c>
      <c r="R287" s="6">
        <v>157.5</v>
      </c>
      <c r="S287" s="6">
        <v>152.4</v>
      </c>
      <c r="T287" s="6">
        <v>156.80000000000001</v>
      </c>
      <c r="U287" s="6" t="s">
        <v>32</v>
      </c>
      <c r="V287" s="6">
        <v>150.9</v>
      </c>
      <c r="W287" s="6">
        <v>153.9</v>
      </c>
      <c r="X287" s="6">
        <v>162.5</v>
      </c>
      <c r="Y287" s="6">
        <v>147.5</v>
      </c>
      <c r="Z287" s="6">
        <v>155.1</v>
      </c>
      <c r="AA287" s="6">
        <v>163.5</v>
      </c>
      <c r="AB287" s="6">
        <v>156.19999999999999</v>
      </c>
      <c r="AC287" s="6">
        <v>155.9</v>
      </c>
      <c r="AD287" s="6">
        <v>158.5</v>
      </c>
    </row>
    <row r="288" spans="1:30" x14ac:dyDescent="0.3">
      <c r="A288" s="5" t="s">
        <v>33</v>
      </c>
      <c r="B288" s="5">
        <v>2021</v>
      </c>
      <c r="C288" s="5" t="s">
        <v>31</v>
      </c>
      <c r="D288" s="5">
        <v>148</v>
      </c>
      <c r="E288" s="5">
        <v>194.8</v>
      </c>
      <c r="F288" s="5">
        <v>178.4</v>
      </c>
      <c r="G288" s="5">
        <v>154.4</v>
      </c>
      <c r="H288" s="5">
        <v>144.1</v>
      </c>
      <c r="I288" s="5">
        <v>152.6</v>
      </c>
      <c r="J288" s="5">
        <v>206.8</v>
      </c>
      <c r="K288" s="5">
        <v>162.1</v>
      </c>
      <c r="L288" s="5">
        <v>116.3</v>
      </c>
      <c r="M288" s="5">
        <v>163</v>
      </c>
      <c r="N288" s="5">
        <v>145.9</v>
      </c>
      <c r="O288" s="5">
        <v>167.2</v>
      </c>
      <c r="P288" s="5">
        <v>163.4</v>
      </c>
      <c r="Q288" s="5">
        <v>191.8</v>
      </c>
      <c r="R288" s="5">
        <v>152.5</v>
      </c>
      <c r="S288" s="5">
        <v>137.30000000000001</v>
      </c>
      <c r="T288" s="5">
        <v>150.19999999999999</v>
      </c>
      <c r="U288" s="5">
        <v>157.69999999999999</v>
      </c>
      <c r="V288" s="5">
        <v>142.9</v>
      </c>
      <c r="W288" s="5">
        <v>145.69999999999999</v>
      </c>
      <c r="X288" s="5">
        <v>154.1</v>
      </c>
      <c r="Y288" s="5">
        <v>136.9</v>
      </c>
      <c r="Z288" s="5">
        <v>145.4</v>
      </c>
      <c r="AA288" s="5">
        <v>156.1</v>
      </c>
      <c r="AB288" s="5">
        <v>157.69999999999999</v>
      </c>
      <c r="AC288" s="5">
        <v>147.6</v>
      </c>
      <c r="AD288" s="5">
        <v>156</v>
      </c>
    </row>
    <row r="289" spans="1:30" x14ac:dyDescent="0.3">
      <c r="A289" s="6" t="s">
        <v>34</v>
      </c>
      <c r="B289" s="6">
        <v>2021</v>
      </c>
      <c r="C289" s="6" t="s">
        <v>31</v>
      </c>
      <c r="D289" s="6">
        <v>144.9</v>
      </c>
      <c r="E289" s="6">
        <v>190.1</v>
      </c>
      <c r="F289" s="6">
        <v>175.3</v>
      </c>
      <c r="G289" s="6">
        <v>154.1</v>
      </c>
      <c r="H289" s="6">
        <v>150.9</v>
      </c>
      <c r="I289" s="6">
        <v>149.6</v>
      </c>
      <c r="J289" s="6">
        <v>194.2</v>
      </c>
      <c r="K289" s="6">
        <v>160.4</v>
      </c>
      <c r="L289" s="6">
        <v>114.6</v>
      </c>
      <c r="M289" s="6">
        <v>164</v>
      </c>
      <c r="N289" s="6">
        <v>151.80000000000001</v>
      </c>
      <c r="O289" s="6">
        <v>165.6</v>
      </c>
      <c r="P289" s="6">
        <v>161</v>
      </c>
      <c r="Q289" s="6">
        <v>186.5</v>
      </c>
      <c r="R289" s="6">
        <v>155.5</v>
      </c>
      <c r="S289" s="6">
        <v>146.1</v>
      </c>
      <c r="T289" s="6">
        <v>154.19999999999999</v>
      </c>
      <c r="U289" s="6">
        <v>157.69999999999999</v>
      </c>
      <c r="V289" s="6">
        <v>147.9</v>
      </c>
      <c r="W289" s="6">
        <v>150</v>
      </c>
      <c r="X289" s="6">
        <v>159.30000000000001</v>
      </c>
      <c r="Y289" s="6">
        <v>141.9</v>
      </c>
      <c r="Z289" s="6">
        <v>149.6</v>
      </c>
      <c r="AA289" s="6">
        <v>159.19999999999999</v>
      </c>
      <c r="AB289" s="6">
        <v>156.80000000000001</v>
      </c>
      <c r="AC289" s="6">
        <v>151.9</v>
      </c>
      <c r="AD289" s="6">
        <v>157.30000000000001</v>
      </c>
    </row>
    <row r="290" spans="1:30" x14ac:dyDescent="0.3">
      <c r="A290" s="5" t="s">
        <v>30</v>
      </c>
      <c r="B290" s="5">
        <v>2021</v>
      </c>
      <c r="C290" s="5" t="s">
        <v>35</v>
      </c>
      <c r="D290" s="5">
        <v>142.80000000000001</v>
      </c>
      <c r="E290" s="5">
        <v>184</v>
      </c>
      <c r="F290" s="5">
        <v>168</v>
      </c>
      <c r="G290" s="5">
        <v>154.4</v>
      </c>
      <c r="H290" s="5">
        <v>163</v>
      </c>
      <c r="I290" s="5">
        <v>147.80000000000001</v>
      </c>
      <c r="J290" s="5">
        <v>149.69999999999999</v>
      </c>
      <c r="K290" s="5">
        <v>158.30000000000001</v>
      </c>
      <c r="L290" s="5">
        <v>111.8</v>
      </c>
      <c r="M290" s="5">
        <v>165</v>
      </c>
      <c r="N290" s="5">
        <v>160</v>
      </c>
      <c r="O290" s="5">
        <v>165.8</v>
      </c>
      <c r="P290" s="5">
        <v>154.69999999999999</v>
      </c>
      <c r="Q290" s="5">
        <v>186.5</v>
      </c>
      <c r="R290" s="5">
        <v>159.1</v>
      </c>
      <c r="S290" s="5">
        <v>153.9</v>
      </c>
      <c r="T290" s="5">
        <v>158.4</v>
      </c>
      <c r="U290" s="5" t="s">
        <v>32</v>
      </c>
      <c r="V290" s="5">
        <v>154.4</v>
      </c>
      <c r="W290" s="5">
        <v>154.80000000000001</v>
      </c>
      <c r="X290" s="5">
        <v>164.3</v>
      </c>
      <c r="Y290" s="5">
        <v>150.19999999999999</v>
      </c>
      <c r="Z290" s="5">
        <v>157</v>
      </c>
      <c r="AA290" s="5">
        <v>163.6</v>
      </c>
      <c r="AB290" s="5">
        <v>155.19999999999999</v>
      </c>
      <c r="AC290" s="5">
        <v>157.19999999999999</v>
      </c>
      <c r="AD290" s="5">
        <v>156.69999999999999</v>
      </c>
    </row>
    <row r="291" spans="1:30" x14ac:dyDescent="0.3">
      <c r="A291" s="6" t="s">
        <v>33</v>
      </c>
      <c r="B291" s="6">
        <v>2021</v>
      </c>
      <c r="C291" s="6" t="s">
        <v>35</v>
      </c>
      <c r="D291" s="6">
        <v>147.6</v>
      </c>
      <c r="E291" s="6">
        <v>191.2</v>
      </c>
      <c r="F291" s="6">
        <v>169.9</v>
      </c>
      <c r="G291" s="6">
        <v>155.1</v>
      </c>
      <c r="H291" s="6">
        <v>151.4</v>
      </c>
      <c r="I291" s="6">
        <v>154</v>
      </c>
      <c r="J291" s="6">
        <v>180.2</v>
      </c>
      <c r="K291" s="6">
        <v>159.80000000000001</v>
      </c>
      <c r="L291" s="6">
        <v>114.9</v>
      </c>
      <c r="M291" s="6">
        <v>162.5</v>
      </c>
      <c r="N291" s="6">
        <v>149.19999999999999</v>
      </c>
      <c r="O291" s="6">
        <v>169.4</v>
      </c>
      <c r="P291" s="6">
        <v>160.80000000000001</v>
      </c>
      <c r="Q291" s="6">
        <v>193.3</v>
      </c>
      <c r="R291" s="6">
        <v>154.19999999999999</v>
      </c>
      <c r="S291" s="6">
        <v>138.19999999999999</v>
      </c>
      <c r="T291" s="6">
        <v>151.80000000000001</v>
      </c>
      <c r="U291" s="6">
        <v>159.80000000000001</v>
      </c>
      <c r="V291" s="6">
        <v>149.1</v>
      </c>
      <c r="W291" s="6">
        <v>146.5</v>
      </c>
      <c r="X291" s="6">
        <v>156.30000000000001</v>
      </c>
      <c r="Y291" s="6">
        <v>140.5</v>
      </c>
      <c r="Z291" s="6">
        <v>147.30000000000001</v>
      </c>
      <c r="AA291" s="6">
        <v>156.6</v>
      </c>
      <c r="AB291" s="6">
        <v>156.69999999999999</v>
      </c>
      <c r="AC291" s="6">
        <v>149.30000000000001</v>
      </c>
      <c r="AD291" s="6">
        <v>156.5</v>
      </c>
    </row>
    <row r="292" spans="1:30" x14ac:dyDescent="0.3">
      <c r="A292" s="5" t="s">
        <v>34</v>
      </c>
      <c r="B292" s="5">
        <v>2021</v>
      </c>
      <c r="C292" s="5" t="s">
        <v>35</v>
      </c>
      <c r="D292" s="5">
        <v>144.30000000000001</v>
      </c>
      <c r="E292" s="5">
        <v>186.5</v>
      </c>
      <c r="F292" s="5">
        <v>168.7</v>
      </c>
      <c r="G292" s="5">
        <v>154.69999999999999</v>
      </c>
      <c r="H292" s="5">
        <v>158.69999999999999</v>
      </c>
      <c r="I292" s="5">
        <v>150.69999999999999</v>
      </c>
      <c r="J292" s="5">
        <v>160</v>
      </c>
      <c r="K292" s="5">
        <v>158.80000000000001</v>
      </c>
      <c r="L292" s="5">
        <v>112.8</v>
      </c>
      <c r="M292" s="5">
        <v>164.2</v>
      </c>
      <c r="N292" s="5">
        <v>155.5</v>
      </c>
      <c r="O292" s="5">
        <v>167.5</v>
      </c>
      <c r="P292" s="5">
        <v>156.9</v>
      </c>
      <c r="Q292" s="5">
        <v>188.3</v>
      </c>
      <c r="R292" s="5">
        <v>157.19999999999999</v>
      </c>
      <c r="S292" s="5">
        <v>147.4</v>
      </c>
      <c r="T292" s="5">
        <v>155.80000000000001</v>
      </c>
      <c r="U292" s="5">
        <v>159.80000000000001</v>
      </c>
      <c r="V292" s="5">
        <v>152.4</v>
      </c>
      <c r="W292" s="5">
        <v>150.9</v>
      </c>
      <c r="X292" s="5">
        <v>161.30000000000001</v>
      </c>
      <c r="Y292" s="5">
        <v>145.1</v>
      </c>
      <c r="Z292" s="5">
        <v>151.5</v>
      </c>
      <c r="AA292" s="5">
        <v>159.5</v>
      </c>
      <c r="AB292" s="5">
        <v>155.80000000000001</v>
      </c>
      <c r="AC292" s="5">
        <v>153.4</v>
      </c>
      <c r="AD292" s="5">
        <v>156.6</v>
      </c>
    </row>
    <row r="293" spans="1:30" x14ac:dyDescent="0.3">
      <c r="A293" s="6" t="s">
        <v>30</v>
      </c>
      <c r="B293" s="6">
        <v>2021</v>
      </c>
      <c r="C293" s="6" t="s">
        <v>36</v>
      </c>
      <c r="D293" s="6">
        <v>142.5</v>
      </c>
      <c r="E293" s="6">
        <v>189.4</v>
      </c>
      <c r="F293" s="6">
        <v>163.19999999999999</v>
      </c>
      <c r="G293" s="6">
        <v>154.5</v>
      </c>
      <c r="H293" s="6">
        <v>168.2</v>
      </c>
      <c r="I293" s="6">
        <v>150.5</v>
      </c>
      <c r="J293" s="6">
        <v>141</v>
      </c>
      <c r="K293" s="6">
        <v>159.19999999999999</v>
      </c>
      <c r="L293" s="6">
        <v>111.7</v>
      </c>
      <c r="M293" s="6">
        <v>164</v>
      </c>
      <c r="N293" s="6">
        <v>160.6</v>
      </c>
      <c r="O293" s="6">
        <v>166.4</v>
      </c>
      <c r="P293" s="6">
        <v>154.5</v>
      </c>
      <c r="Q293" s="6">
        <v>186.1</v>
      </c>
      <c r="R293" s="6">
        <v>159.6</v>
      </c>
      <c r="S293" s="6">
        <v>154.4</v>
      </c>
      <c r="T293" s="6">
        <v>158.9</v>
      </c>
      <c r="U293" s="6" t="s">
        <v>48</v>
      </c>
      <c r="V293" s="6">
        <v>156</v>
      </c>
      <c r="W293" s="6">
        <v>154.80000000000001</v>
      </c>
      <c r="X293" s="6">
        <v>164.6</v>
      </c>
      <c r="Y293" s="6">
        <v>151.30000000000001</v>
      </c>
      <c r="Z293" s="6">
        <v>157.80000000000001</v>
      </c>
      <c r="AA293" s="6">
        <v>163.80000000000001</v>
      </c>
      <c r="AB293" s="6">
        <v>153.1</v>
      </c>
      <c r="AC293" s="6">
        <v>157.30000000000001</v>
      </c>
      <c r="AD293" s="6">
        <v>156.69999999999999</v>
      </c>
    </row>
    <row r="294" spans="1:30" x14ac:dyDescent="0.3">
      <c r="A294" s="5" t="s">
        <v>33</v>
      </c>
      <c r="B294" s="5">
        <v>2021</v>
      </c>
      <c r="C294" s="5" t="s">
        <v>36</v>
      </c>
      <c r="D294" s="5">
        <v>147.5</v>
      </c>
      <c r="E294" s="5">
        <v>197.5</v>
      </c>
      <c r="F294" s="5">
        <v>164.7</v>
      </c>
      <c r="G294" s="5">
        <v>155.6</v>
      </c>
      <c r="H294" s="5">
        <v>156.4</v>
      </c>
      <c r="I294" s="5">
        <v>157.30000000000001</v>
      </c>
      <c r="J294" s="5">
        <v>166.1</v>
      </c>
      <c r="K294" s="5">
        <v>161.1</v>
      </c>
      <c r="L294" s="5">
        <v>114.3</v>
      </c>
      <c r="M294" s="5">
        <v>162.6</v>
      </c>
      <c r="N294" s="5">
        <v>150.69999999999999</v>
      </c>
      <c r="O294" s="5">
        <v>170.3</v>
      </c>
      <c r="P294" s="5">
        <v>160.4</v>
      </c>
      <c r="Q294" s="5">
        <v>193.5</v>
      </c>
      <c r="R294" s="5">
        <v>155.1</v>
      </c>
      <c r="S294" s="5">
        <v>138.69999999999999</v>
      </c>
      <c r="T294" s="5">
        <v>152.6</v>
      </c>
      <c r="U294" s="5">
        <v>159.9</v>
      </c>
      <c r="V294" s="5">
        <v>154.80000000000001</v>
      </c>
      <c r="W294" s="5">
        <v>147.19999999999999</v>
      </c>
      <c r="X294" s="5">
        <v>156.9</v>
      </c>
      <c r="Y294" s="5">
        <v>141.69999999999999</v>
      </c>
      <c r="Z294" s="5">
        <v>148.6</v>
      </c>
      <c r="AA294" s="5">
        <v>157.6</v>
      </c>
      <c r="AB294" s="5">
        <v>154.9</v>
      </c>
      <c r="AC294" s="5">
        <v>150</v>
      </c>
      <c r="AD294" s="5">
        <v>156.9</v>
      </c>
    </row>
    <row r="295" spans="1:30" x14ac:dyDescent="0.3">
      <c r="A295" s="6" t="s">
        <v>34</v>
      </c>
      <c r="B295" s="6">
        <v>2021</v>
      </c>
      <c r="C295" s="6" t="s">
        <v>36</v>
      </c>
      <c r="D295" s="6">
        <v>144.1</v>
      </c>
      <c r="E295" s="6">
        <v>192.2</v>
      </c>
      <c r="F295" s="6">
        <v>163.80000000000001</v>
      </c>
      <c r="G295" s="6">
        <v>154.9</v>
      </c>
      <c r="H295" s="6">
        <v>163.9</v>
      </c>
      <c r="I295" s="6">
        <v>153.69999999999999</v>
      </c>
      <c r="J295" s="6">
        <v>149.5</v>
      </c>
      <c r="K295" s="6">
        <v>159.80000000000001</v>
      </c>
      <c r="L295" s="6">
        <v>112.6</v>
      </c>
      <c r="M295" s="6">
        <v>163.5</v>
      </c>
      <c r="N295" s="6">
        <v>156.5</v>
      </c>
      <c r="O295" s="6">
        <v>168.2</v>
      </c>
      <c r="P295" s="6">
        <v>156.69999999999999</v>
      </c>
      <c r="Q295" s="6">
        <v>188.1</v>
      </c>
      <c r="R295" s="6">
        <v>157.80000000000001</v>
      </c>
      <c r="S295" s="6">
        <v>147.9</v>
      </c>
      <c r="T295" s="6">
        <v>156.4</v>
      </c>
      <c r="U295" s="6">
        <v>159.9</v>
      </c>
      <c r="V295" s="6">
        <v>155.5</v>
      </c>
      <c r="W295" s="6">
        <v>151.19999999999999</v>
      </c>
      <c r="X295" s="6">
        <v>161.69999999999999</v>
      </c>
      <c r="Y295" s="6">
        <v>146.19999999999999</v>
      </c>
      <c r="Z295" s="6">
        <v>152.6</v>
      </c>
      <c r="AA295" s="6">
        <v>160.19999999999999</v>
      </c>
      <c r="AB295" s="6">
        <v>153.80000000000001</v>
      </c>
      <c r="AC295" s="6">
        <v>153.80000000000001</v>
      </c>
      <c r="AD295" s="6">
        <v>156.80000000000001</v>
      </c>
    </row>
    <row r="296" spans="1:30" x14ac:dyDescent="0.3">
      <c r="A296" s="5" t="s">
        <v>30</v>
      </c>
      <c r="B296" s="5">
        <v>2021</v>
      </c>
      <c r="C296" s="5" t="s">
        <v>37</v>
      </c>
      <c r="D296" s="5">
        <v>142.69999999999999</v>
      </c>
      <c r="E296" s="5">
        <v>195.5</v>
      </c>
      <c r="F296" s="5">
        <v>163.4</v>
      </c>
      <c r="G296" s="5">
        <v>155</v>
      </c>
      <c r="H296" s="5">
        <v>175.2</v>
      </c>
      <c r="I296" s="5">
        <v>160.6</v>
      </c>
      <c r="J296" s="5">
        <v>135.1</v>
      </c>
      <c r="K296" s="5">
        <v>161.1</v>
      </c>
      <c r="L296" s="5">
        <v>112.2</v>
      </c>
      <c r="M296" s="5">
        <v>164.4</v>
      </c>
      <c r="N296" s="5">
        <v>161.9</v>
      </c>
      <c r="O296" s="5">
        <v>166.8</v>
      </c>
      <c r="P296" s="5">
        <v>155.6</v>
      </c>
      <c r="Q296" s="5">
        <v>186.8</v>
      </c>
      <c r="R296" s="5">
        <v>160.69999999999999</v>
      </c>
      <c r="S296" s="5">
        <v>155.1</v>
      </c>
      <c r="T296" s="5">
        <v>159.9</v>
      </c>
      <c r="U296" s="5" t="s">
        <v>48</v>
      </c>
      <c r="V296" s="5">
        <v>156</v>
      </c>
      <c r="W296" s="5">
        <v>155.5</v>
      </c>
      <c r="X296" s="5">
        <v>165.3</v>
      </c>
      <c r="Y296" s="5">
        <v>151.69999999999999</v>
      </c>
      <c r="Z296" s="5">
        <v>158.6</v>
      </c>
      <c r="AA296" s="5">
        <v>164.1</v>
      </c>
      <c r="AB296" s="5">
        <v>154.6</v>
      </c>
      <c r="AC296" s="5">
        <v>158</v>
      </c>
      <c r="AD296" s="5">
        <v>157.6</v>
      </c>
    </row>
    <row r="297" spans="1:30" x14ac:dyDescent="0.3">
      <c r="A297" s="6" t="s">
        <v>33</v>
      </c>
      <c r="B297" s="6">
        <v>2021</v>
      </c>
      <c r="C297" s="6" t="s">
        <v>37</v>
      </c>
      <c r="D297" s="6">
        <v>147.6</v>
      </c>
      <c r="E297" s="6">
        <v>202.5</v>
      </c>
      <c r="F297" s="6">
        <v>166.4</v>
      </c>
      <c r="G297" s="6">
        <v>156</v>
      </c>
      <c r="H297" s="6">
        <v>161.4</v>
      </c>
      <c r="I297" s="6">
        <v>168.8</v>
      </c>
      <c r="J297" s="6">
        <v>161.6</v>
      </c>
      <c r="K297" s="6">
        <v>162.80000000000001</v>
      </c>
      <c r="L297" s="6">
        <v>114.8</v>
      </c>
      <c r="M297" s="6">
        <v>162.80000000000001</v>
      </c>
      <c r="N297" s="6">
        <v>151.5</v>
      </c>
      <c r="O297" s="6">
        <v>171.4</v>
      </c>
      <c r="P297" s="6">
        <v>162</v>
      </c>
      <c r="Q297" s="6">
        <v>194.4</v>
      </c>
      <c r="R297" s="6">
        <v>155.9</v>
      </c>
      <c r="S297" s="6">
        <v>139.30000000000001</v>
      </c>
      <c r="T297" s="6">
        <v>153.4</v>
      </c>
      <c r="U297" s="6">
        <v>161.4</v>
      </c>
      <c r="V297" s="6">
        <v>154.9</v>
      </c>
      <c r="W297" s="6">
        <v>147.6</v>
      </c>
      <c r="X297" s="6">
        <v>157.5</v>
      </c>
      <c r="Y297" s="6">
        <v>142.1</v>
      </c>
      <c r="Z297" s="6">
        <v>149.1</v>
      </c>
      <c r="AA297" s="6">
        <v>157.6</v>
      </c>
      <c r="AB297" s="6">
        <v>156.6</v>
      </c>
      <c r="AC297" s="6">
        <v>150.5</v>
      </c>
      <c r="AD297" s="6">
        <v>158</v>
      </c>
    </row>
    <row r="298" spans="1:30" x14ac:dyDescent="0.3">
      <c r="A298" s="5" t="s">
        <v>34</v>
      </c>
      <c r="B298" s="5">
        <v>2021</v>
      </c>
      <c r="C298" s="5" t="s">
        <v>37</v>
      </c>
      <c r="D298" s="5">
        <v>144.30000000000001</v>
      </c>
      <c r="E298" s="5">
        <v>198</v>
      </c>
      <c r="F298" s="5">
        <v>164.6</v>
      </c>
      <c r="G298" s="5">
        <v>155.4</v>
      </c>
      <c r="H298" s="5">
        <v>170.1</v>
      </c>
      <c r="I298" s="5">
        <v>164.4</v>
      </c>
      <c r="J298" s="5">
        <v>144.1</v>
      </c>
      <c r="K298" s="5">
        <v>161.69999999999999</v>
      </c>
      <c r="L298" s="5">
        <v>113.1</v>
      </c>
      <c r="M298" s="5">
        <v>163.9</v>
      </c>
      <c r="N298" s="5">
        <v>157.6</v>
      </c>
      <c r="O298" s="5">
        <v>168.9</v>
      </c>
      <c r="P298" s="5">
        <v>158</v>
      </c>
      <c r="Q298" s="5">
        <v>188.8</v>
      </c>
      <c r="R298" s="5">
        <v>158.80000000000001</v>
      </c>
      <c r="S298" s="5">
        <v>148.5</v>
      </c>
      <c r="T298" s="5">
        <v>157.30000000000001</v>
      </c>
      <c r="U298" s="5">
        <v>161.4</v>
      </c>
      <c r="V298" s="5">
        <v>155.6</v>
      </c>
      <c r="W298" s="5">
        <v>151.80000000000001</v>
      </c>
      <c r="X298" s="5">
        <v>162.30000000000001</v>
      </c>
      <c r="Y298" s="5">
        <v>146.6</v>
      </c>
      <c r="Z298" s="5">
        <v>153.19999999999999</v>
      </c>
      <c r="AA298" s="5">
        <v>160.30000000000001</v>
      </c>
      <c r="AB298" s="5">
        <v>155.4</v>
      </c>
      <c r="AC298" s="5">
        <v>154.4</v>
      </c>
      <c r="AD298" s="5">
        <v>157.80000000000001</v>
      </c>
    </row>
    <row r="299" spans="1:30" x14ac:dyDescent="0.3">
      <c r="A299" s="6" t="s">
        <v>30</v>
      </c>
      <c r="B299" s="6">
        <v>2021</v>
      </c>
      <c r="C299" s="6" t="s">
        <v>38</v>
      </c>
      <c r="D299" s="6">
        <v>145.1</v>
      </c>
      <c r="E299" s="6">
        <v>198.5</v>
      </c>
      <c r="F299" s="6">
        <v>168.6</v>
      </c>
      <c r="G299" s="6">
        <v>155.80000000000001</v>
      </c>
      <c r="H299" s="6">
        <v>184.4</v>
      </c>
      <c r="I299" s="6">
        <v>162.30000000000001</v>
      </c>
      <c r="J299" s="6">
        <v>138.4</v>
      </c>
      <c r="K299" s="6">
        <v>165.1</v>
      </c>
      <c r="L299" s="6">
        <v>114.3</v>
      </c>
      <c r="M299" s="6">
        <v>169.7</v>
      </c>
      <c r="N299" s="6">
        <v>164.6</v>
      </c>
      <c r="O299" s="6">
        <v>169.8</v>
      </c>
      <c r="P299" s="6">
        <v>158.69999999999999</v>
      </c>
      <c r="Q299" s="6">
        <v>189.6</v>
      </c>
      <c r="R299" s="6">
        <v>165.3</v>
      </c>
      <c r="S299" s="6">
        <v>160.6</v>
      </c>
      <c r="T299" s="6">
        <v>164.5</v>
      </c>
      <c r="U299" s="6" t="s">
        <v>32</v>
      </c>
      <c r="V299" s="6">
        <v>161.69999999999999</v>
      </c>
      <c r="W299" s="6">
        <v>158.80000000000001</v>
      </c>
      <c r="X299" s="6">
        <v>169.1</v>
      </c>
      <c r="Y299" s="6">
        <v>153.19999999999999</v>
      </c>
      <c r="Z299" s="6">
        <v>160</v>
      </c>
      <c r="AA299" s="6">
        <v>167.6</v>
      </c>
      <c r="AB299" s="6">
        <v>159.30000000000001</v>
      </c>
      <c r="AC299" s="6">
        <v>161.1</v>
      </c>
      <c r="AD299" s="6">
        <v>161.1</v>
      </c>
    </row>
    <row r="300" spans="1:30" x14ac:dyDescent="0.3">
      <c r="A300" s="5" t="s">
        <v>33</v>
      </c>
      <c r="B300" s="5">
        <v>2021</v>
      </c>
      <c r="C300" s="5" t="s">
        <v>38</v>
      </c>
      <c r="D300" s="5">
        <v>148.80000000000001</v>
      </c>
      <c r="E300" s="5">
        <v>204.3</v>
      </c>
      <c r="F300" s="5">
        <v>173</v>
      </c>
      <c r="G300" s="5">
        <v>156.5</v>
      </c>
      <c r="H300" s="5">
        <v>168.8</v>
      </c>
      <c r="I300" s="5">
        <v>172.5</v>
      </c>
      <c r="J300" s="5">
        <v>166.5</v>
      </c>
      <c r="K300" s="5">
        <v>165.9</v>
      </c>
      <c r="L300" s="5">
        <v>115.9</v>
      </c>
      <c r="M300" s="5">
        <v>165.2</v>
      </c>
      <c r="N300" s="5">
        <v>152</v>
      </c>
      <c r="O300" s="5">
        <v>171.1</v>
      </c>
      <c r="P300" s="5">
        <v>164.2</v>
      </c>
      <c r="Q300" s="5">
        <v>198.2</v>
      </c>
      <c r="R300" s="5">
        <v>156.5</v>
      </c>
      <c r="S300" s="5">
        <v>140.19999999999999</v>
      </c>
      <c r="T300" s="5">
        <v>154.1</v>
      </c>
      <c r="U300" s="5">
        <v>161.6</v>
      </c>
      <c r="V300" s="5">
        <v>155.5</v>
      </c>
      <c r="W300" s="5">
        <v>150.1</v>
      </c>
      <c r="X300" s="5">
        <v>160.4</v>
      </c>
      <c r="Y300" s="5">
        <v>145</v>
      </c>
      <c r="Z300" s="5">
        <v>152.6</v>
      </c>
      <c r="AA300" s="5">
        <v>156.6</v>
      </c>
      <c r="AB300" s="5">
        <v>157.5</v>
      </c>
      <c r="AC300" s="5">
        <v>152.30000000000001</v>
      </c>
      <c r="AD300" s="5">
        <v>159.5</v>
      </c>
    </row>
    <row r="301" spans="1:30" x14ac:dyDescent="0.3">
      <c r="A301" s="6" t="s">
        <v>34</v>
      </c>
      <c r="B301" s="6">
        <v>2021</v>
      </c>
      <c r="C301" s="6" t="s">
        <v>38</v>
      </c>
      <c r="D301" s="6">
        <v>146.30000000000001</v>
      </c>
      <c r="E301" s="6">
        <v>200.5</v>
      </c>
      <c r="F301" s="6">
        <v>170.3</v>
      </c>
      <c r="G301" s="6">
        <v>156.1</v>
      </c>
      <c r="H301" s="6">
        <v>178.7</v>
      </c>
      <c r="I301" s="6">
        <v>167.1</v>
      </c>
      <c r="J301" s="6">
        <v>147.9</v>
      </c>
      <c r="K301" s="6">
        <v>165.4</v>
      </c>
      <c r="L301" s="6">
        <v>114.8</v>
      </c>
      <c r="M301" s="6">
        <v>168.2</v>
      </c>
      <c r="N301" s="6">
        <v>159.30000000000001</v>
      </c>
      <c r="O301" s="6">
        <v>170.4</v>
      </c>
      <c r="P301" s="6">
        <v>160.69999999999999</v>
      </c>
      <c r="Q301" s="6">
        <v>191.9</v>
      </c>
      <c r="R301" s="6">
        <v>161.80000000000001</v>
      </c>
      <c r="S301" s="6">
        <v>152.1</v>
      </c>
      <c r="T301" s="6">
        <v>160.4</v>
      </c>
      <c r="U301" s="6">
        <v>161.6</v>
      </c>
      <c r="V301" s="6">
        <v>159.4</v>
      </c>
      <c r="W301" s="6">
        <v>154.69999999999999</v>
      </c>
      <c r="X301" s="6">
        <v>165.8</v>
      </c>
      <c r="Y301" s="6">
        <v>148.9</v>
      </c>
      <c r="Z301" s="6">
        <v>155.80000000000001</v>
      </c>
      <c r="AA301" s="6">
        <v>161.19999999999999</v>
      </c>
      <c r="AB301" s="6">
        <v>158.6</v>
      </c>
      <c r="AC301" s="6">
        <v>156.80000000000001</v>
      </c>
      <c r="AD301" s="6">
        <v>160.4</v>
      </c>
    </row>
    <row r="302" spans="1:30" x14ac:dyDescent="0.3">
      <c r="A302" s="5" t="s">
        <v>30</v>
      </c>
      <c r="B302" s="5">
        <v>2021</v>
      </c>
      <c r="C302" s="5" t="s">
        <v>39</v>
      </c>
      <c r="D302" s="5">
        <v>145.6</v>
      </c>
      <c r="E302" s="5">
        <v>200.1</v>
      </c>
      <c r="F302" s="5">
        <v>179.3</v>
      </c>
      <c r="G302" s="5">
        <v>156.1</v>
      </c>
      <c r="H302" s="5">
        <v>190.4</v>
      </c>
      <c r="I302" s="5">
        <v>158.6</v>
      </c>
      <c r="J302" s="5">
        <v>144.69999999999999</v>
      </c>
      <c r="K302" s="5">
        <v>165.5</v>
      </c>
      <c r="L302" s="5">
        <v>114.6</v>
      </c>
      <c r="M302" s="5">
        <v>170</v>
      </c>
      <c r="N302" s="5">
        <v>165.5</v>
      </c>
      <c r="O302" s="5">
        <v>171.7</v>
      </c>
      <c r="P302" s="5">
        <v>160.5</v>
      </c>
      <c r="Q302" s="5">
        <v>189.1</v>
      </c>
      <c r="R302" s="5">
        <v>165.3</v>
      </c>
      <c r="S302" s="5">
        <v>159.9</v>
      </c>
      <c r="T302" s="5">
        <v>164.6</v>
      </c>
      <c r="U302" s="5" t="s">
        <v>32</v>
      </c>
      <c r="V302" s="5">
        <v>162.1</v>
      </c>
      <c r="W302" s="5">
        <v>159.19999999999999</v>
      </c>
      <c r="X302" s="5">
        <v>169.7</v>
      </c>
      <c r="Y302" s="5">
        <v>154.19999999999999</v>
      </c>
      <c r="Z302" s="5">
        <v>160.4</v>
      </c>
      <c r="AA302" s="5">
        <v>166.8</v>
      </c>
      <c r="AB302" s="5">
        <v>159.4</v>
      </c>
      <c r="AC302" s="5">
        <v>161.5</v>
      </c>
      <c r="AD302" s="5">
        <v>162.1</v>
      </c>
    </row>
    <row r="303" spans="1:30" x14ac:dyDescent="0.3">
      <c r="A303" s="6" t="s">
        <v>33</v>
      </c>
      <c r="B303" s="6">
        <v>2021</v>
      </c>
      <c r="C303" s="6" t="s">
        <v>39</v>
      </c>
      <c r="D303" s="6">
        <v>149.19999999999999</v>
      </c>
      <c r="E303" s="6">
        <v>205.5</v>
      </c>
      <c r="F303" s="6">
        <v>182.8</v>
      </c>
      <c r="G303" s="6">
        <v>156.5</v>
      </c>
      <c r="H303" s="6">
        <v>172.2</v>
      </c>
      <c r="I303" s="6">
        <v>171.5</v>
      </c>
      <c r="J303" s="6">
        <v>176.2</v>
      </c>
      <c r="K303" s="6">
        <v>166.9</v>
      </c>
      <c r="L303" s="6">
        <v>116.1</v>
      </c>
      <c r="M303" s="6">
        <v>165.5</v>
      </c>
      <c r="N303" s="6">
        <v>152.30000000000001</v>
      </c>
      <c r="O303" s="6">
        <v>173.3</v>
      </c>
      <c r="P303" s="6">
        <v>166.2</v>
      </c>
      <c r="Q303" s="6">
        <v>195.6</v>
      </c>
      <c r="R303" s="6">
        <v>157.30000000000001</v>
      </c>
      <c r="S303" s="6">
        <v>140.5</v>
      </c>
      <c r="T303" s="6">
        <v>154.80000000000001</v>
      </c>
      <c r="U303" s="6">
        <v>160.5</v>
      </c>
      <c r="V303" s="6">
        <v>156.1</v>
      </c>
      <c r="W303" s="6">
        <v>149.80000000000001</v>
      </c>
      <c r="X303" s="6">
        <v>160.80000000000001</v>
      </c>
      <c r="Y303" s="6">
        <v>147.5</v>
      </c>
      <c r="Z303" s="6">
        <v>150.69999999999999</v>
      </c>
      <c r="AA303" s="6">
        <v>158.1</v>
      </c>
      <c r="AB303" s="6">
        <v>158</v>
      </c>
      <c r="AC303" s="6">
        <v>153.4</v>
      </c>
      <c r="AD303" s="6">
        <v>160.4</v>
      </c>
    </row>
    <row r="304" spans="1:30" x14ac:dyDescent="0.3">
      <c r="A304" s="5" t="s">
        <v>34</v>
      </c>
      <c r="B304" s="5">
        <v>2021</v>
      </c>
      <c r="C304" s="5" t="s">
        <v>39</v>
      </c>
      <c r="D304" s="5">
        <v>146.69999999999999</v>
      </c>
      <c r="E304" s="5">
        <v>202</v>
      </c>
      <c r="F304" s="5">
        <v>180.7</v>
      </c>
      <c r="G304" s="5">
        <v>156.19999999999999</v>
      </c>
      <c r="H304" s="5">
        <v>183.7</v>
      </c>
      <c r="I304" s="5">
        <v>164.6</v>
      </c>
      <c r="J304" s="5">
        <v>155.4</v>
      </c>
      <c r="K304" s="5">
        <v>166</v>
      </c>
      <c r="L304" s="5">
        <v>115.1</v>
      </c>
      <c r="M304" s="5">
        <v>168.5</v>
      </c>
      <c r="N304" s="5">
        <v>160</v>
      </c>
      <c r="O304" s="5">
        <v>172.4</v>
      </c>
      <c r="P304" s="5">
        <v>162.6</v>
      </c>
      <c r="Q304" s="5">
        <v>190.8</v>
      </c>
      <c r="R304" s="5">
        <v>162.19999999999999</v>
      </c>
      <c r="S304" s="5">
        <v>151.80000000000001</v>
      </c>
      <c r="T304" s="5">
        <v>160.69999999999999</v>
      </c>
      <c r="U304" s="5">
        <v>160.5</v>
      </c>
      <c r="V304" s="5">
        <v>159.80000000000001</v>
      </c>
      <c r="W304" s="5">
        <v>154.80000000000001</v>
      </c>
      <c r="X304" s="5">
        <v>166.3</v>
      </c>
      <c r="Y304" s="5">
        <v>150.69999999999999</v>
      </c>
      <c r="Z304" s="5">
        <v>154.9</v>
      </c>
      <c r="AA304" s="5">
        <v>161.69999999999999</v>
      </c>
      <c r="AB304" s="5">
        <v>158.80000000000001</v>
      </c>
      <c r="AC304" s="5">
        <v>157.6</v>
      </c>
      <c r="AD304" s="5">
        <v>161.30000000000001</v>
      </c>
    </row>
    <row r="305" spans="1:30" x14ac:dyDescent="0.3">
      <c r="A305" s="6" t="s">
        <v>30</v>
      </c>
      <c r="B305" s="6">
        <v>2021</v>
      </c>
      <c r="C305" s="6" t="s">
        <v>40</v>
      </c>
      <c r="D305" s="6">
        <v>145.1</v>
      </c>
      <c r="E305" s="6">
        <v>204.5</v>
      </c>
      <c r="F305" s="6">
        <v>180.4</v>
      </c>
      <c r="G305" s="6">
        <v>157.1</v>
      </c>
      <c r="H305" s="6">
        <v>188.7</v>
      </c>
      <c r="I305" s="6">
        <v>157.69999999999999</v>
      </c>
      <c r="J305" s="6">
        <v>152.80000000000001</v>
      </c>
      <c r="K305" s="6">
        <v>163.6</v>
      </c>
      <c r="L305" s="6">
        <v>113.9</v>
      </c>
      <c r="M305" s="6">
        <v>169.7</v>
      </c>
      <c r="N305" s="6">
        <v>166.2</v>
      </c>
      <c r="O305" s="6">
        <v>171</v>
      </c>
      <c r="P305" s="6">
        <v>161.69999999999999</v>
      </c>
      <c r="Q305" s="6">
        <v>189.7</v>
      </c>
      <c r="R305" s="6">
        <v>166</v>
      </c>
      <c r="S305" s="6">
        <v>161.1</v>
      </c>
      <c r="T305" s="6">
        <v>165.3</v>
      </c>
      <c r="U305" s="6" t="s">
        <v>32</v>
      </c>
      <c r="V305" s="6">
        <v>162.5</v>
      </c>
      <c r="W305" s="6">
        <v>160.30000000000001</v>
      </c>
      <c r="X305" s="6">
        <v>170.4</v>
      </c>
      <c r="Y305" s="6">
        <v>157.1</v>
      </c>
      <c r="Z305" s="6">
        <v>160.69999999999999</v>
      </c>
      <c r="AA305" s="6">
        <v>167.2</v>
      </c>
      <c r="AB305" s="6">
        <v>160.4</v>
      </c>
      <c r="AC305" s="6">
        <v>162.80000000000001</v>
      </c>
      <c r="AD305" s="6">
        <v>163.19999999999999</v>
      </c>
    </row>
    <row r="306" spans="1:30" x14ac:dyDescent="0.3">
      <c r="A306" s="5" t="s">
        <v>33</v>
      </c>
      <c r="B306" s="5">
        <v>2021</v>
      </c>
      <c r="C306" s="5" t="s">
        <v>40</v>
      </c>
      <c r="D306" s="5">
        <v>149.1</v>
      </c>
      <c r="E306" s="5">
        <v>210.9</v>
      </c>
      <c r="F306" s="5">
        <v>185</v>
      </c>
      <c r="G306" s="5">
        <v>158.19999999999999</v>
      </c>
      <c r="H306" s="5">
        <v>170.6</v>
      </c>
      <c r="I306" s="5">
        <v>170.9</v>
      </c>
      <c r="J306" s="5">
        <v>186.4</v>
      </c>
      <c r="K306" s="5">
        <v>164.7</v>
      </c>
      <c r="L306" s="5">
        <v>115.7</v>
      </c>
      <c r="M306" s="5">
        <v>165.5</v>
      </c>
      <c r="N306" s="5">
        <v>153.4</v>
      </c>
      <c r="O306" s="5">
        <v>173.5</v>
      </c>
      <c r="P306" s="5">
        <v>167.9</v>
      </c>
      <c r="Q306" s="5">
        <v>195.5</v>
      </c>
      <c r="R306" s="5">
        <v>157.9</v>
      </c>
      <c r="S306" s="5">
        <v>141.9</v>
      </c>
      <c r="T306" s="5">
        <v>155.5</v>
      </c>
      <c r="U306" s="5">
        <v>161.5</v>
      </c>
      <c r="V306" s="5">
        <v>157.69999999999999</v>
      </c>
      <c r="W306" s="5">
        <v>150.69999999999999</v>
      </c>
      <c r="X306" s="5">
        <v>161.5</v>
      </c>
      <c r="Y306" s="5">
        <v>149.5</v>
      </c>
      <c r="Z306" s="5">
        <v>151.19999999999999</v>
      </c>
      <c r="AA306" s="5">
        <v>160.30000000000001</v>
      </c>
      <c r="AB306" s="5">
        <v>159.6</v>
      </c>
      <c r="AC306" s="5">
        <v>155</v>
      </c>
      <c r="AD306" s="5">
        <v>161.80000000000001</v>
      </c>
    </row>
    <row r="307" spans="1:30" x14ac:dyDescent="0.3">
      <c r="A307" s="6" t="s">
        <v>34</v>
      </c>
      <c r="B307" s="6">
        <v>2021</v>
      </c>
      <c r="C307" s="6" t="s">
        <v>40</v>
      </c>
      <c r="D307" s="6">
        <v>146.4</v>
      </c>
      <c r="E307" s="6">
        <v>206.8</v>
      </c>
      <c r="F307" s="6">
        <v>182.2</v>
      </c>
      <c r="G307" s="6">
        <v>157.5</v>
      </c>
      <c r="H307" s="6">
        <v>182.1</v>
      </c>
      <c r="I307" s="6">
        <v>163.9</v>
      </c>
      <c r="J307" s="6">
        <v>164.2</v>
      </c>
      <c r="K307" s="6">
        <v>164</v>
      </c>
      <c r="L307" s="6">
        <v>114.5</v>
      </c>
      <c r="M307" s="6">
        <v>168.3</v>
      </c>
      <c r="N307" s="6">
        <v>160.9</v>
      </c>
      <c r="O307" s="6">
        <v>172.2</v>
      </c>
      <c r="P307" s="6">
        <v>164</v>
      </c>
      <c r="Q307" s="6">
        <v>191.2</v>
      </c>
      <c r="R307" s="6">
        <v>162.80000000000001</v>
      </c>
      <c r="S307" s="6">
        <v>153.1</v>
      </c>
      <c r="T307" s="6">
        <v>161.4</v>
      </c>
      <c r="U307" s="6">
        <v>161.5</v>
      </c>
      <c r="V307" s="6">
        <v>160.69999999999999</v>
      </c>
      <c r="W307" s="6">
        <v>155.80000000000001</v>
      </c>
      <c r="X307" s="6">
        <v>167</v>
      </c>
      <c r="Y307" s="6">
        <v>153.1</v>
      </c>
      <c r="Z307" s="6">
        <v>155.30000000000001</v>
      </c>
      <c r="AA307" s="6">
        <v>163.19999999999999</v>
      </c>
      <c r="AB307" s="6">
        <v>160.1</v>
      </c>
      <c r="AC307" s="6">
        <v>159</v>
      </c>
      <c r="AD307" s="6">
        <v>162.5</v>
      </c>
    </row>
    <row r="308" spans="1:30" x14ac:dyDescent="0.3">
      <c r="A308" s="5" t="s">
        <v>30</v>
      </c>
      <c r="B308" s="5">
        <v>2021</v>
      </c>
      <c r="C308" s="5" t="s">
        <v>41</v>
      </c>
      <c r="D308" s="5">
        <v>144.9</v>
      </c>
      <c r="E308" s="5">
        <v>202.3</v>
      </c>
      <c r="F308" s="5">
        <v>176.5</v>
      </c>
      <c r="G308" s="5">
        <v>157.5</v>
      </c>
      <c r="H308" s="5">
        <v>190.9</v>
      </c>
      <c r="I308" s="5">
        <v>155.69999999999999</v>
      </c>
      <c r="J308" s="5">
        <v>153.9</v>
      </c>
      <c r="K308" s="5">
        <v>162.80000000000001</v>
      </c>
      <c r="L308" s="5">
        <v>115.2</v>
      </c>
      <c r="M308" s="5">
        <v>169.8</v>
      </c>
      <c r="N308" s="5">
        <v>167.6</v>
      </c>
      <c r="O308" s="5">
        <v>171.9</v>
      </c>
      <c r="P308" s="5">
        <v>161.80000000000001</v>
      </c>
      <c r="Q308" s="5">
        <v>190.2</v>
      </c>
      <c r="R308" s="5">
        <v>167</v>
      </c>
      <c r="S308" s="5">
        <v>162.6</v>
      </c>
      <c r="T308" s="5">
        <v>166.3</v>
      </c>
      <c r="U308" s="5" t="s">
        <v>32</v>
      </c>
      <c r="V308" s="5">
        <v>163.1</v>
      </c>
      <c r="W308" s="5">
        <v>160.9</v>
      </c>
      <c r="X308" s="5">
        <v>171.1</v>
      </c>
      <c r="Y308" s="5">
        <v>157.69999999999999</v>
      </c>
      <c r="Z308" s="5">
        <v>161.1</v>
      </c>
      <c r="AA308" s="5">
        <v>167.5</v>
      </c>
      <c r="AB308" s="5">
        <v>160.30000000000001</v>
      </c>
      <c r="AC308" s="5">
        <v>163.30000000000001</v>
      </c>
      <c r="AD308" s="5">
        <v>163.6</v>
      </c>
    </row>
    <row r="309" spans="1:30" x14ac:dyDescent="0.3">
      <c r="A309" s="6" t="s">
        <v>33</v>
      </c>
      <c r="B309" s="6">
        <v>2021</v>
      </c>
      <c r="C309" s="6" t="s">
        <v>41</v>
      </c>
      <c r="D309" s="6">
        <v>149.30000000000001</v>
      </c>
      <c r="E309" s="6">
        <v>207.4</v>
      </c>
      <c r="F309" s="6">
        <v>174.1</v>
      </c>
      <c r="G309" s="6">
        <v>159.19999999999999</v>
      </c>
      <c r="H309" s="6">
        <v>175</v>
      </c>
      <c r="I309" s="6">
        <v>161.30000000000001</v>
      </c>
      <c r="J309" s="6">
        <v>183.3</v>
      </c>
      <c r="K309" s="6">
        <v>164.5</v>
      </c>
      <c r="L309" s="6">
        <v>120.4</v>
      </c>
      <c r="M309" s="6">
        <v>166.2</v>
      </c>
      <c r="N309" s="6">
        <v>154.80000000000001</v>
      </c>
      <c r="O309" s="6">
        <v>175.1</v>
      </c>
      <c r="P309" s="6">
        <v>167.3</v>
      </c>
      <c r="Q309" s="6">
        <v>196.5</v>
      </c>
      <c r="R309" s="6">
        <v>159.80000000000001</v>
      </c>
      <c r="S309" s="6">
        <v>143.6</v>
      </c>
      <c r="T309" s="6">
        <v>157.30000000000001</v>
      </c>
      <c r="U309" s="6">
        <v>162.1</v>
      </c>
      <c r="V309" s="6">
        <v>160.69999999999999</v>
      </c>
      <c r="W309" s="6">
        <v>153.19999999999999</v>
      </c>
      <c r="X309" s="6">
        <v>162.80000000000001</v>
      </c>
      <c r="Y309" s="6">
        <v>150.4</v>
      </c>
      <c r="Z309" s="6">
        <v>153.69999999999999</v>
      </c>
      <c r="AA309" s="6">
        <v>160.4</v>
      </c>
      <c r="AB309" s="6">
        <v>159.6</v>
      </c>
      <c r="AC309" s="6">
        <v>156</v>
      </c>
      <c r="AD309" s="6">
        <v>162.30000000000001</v>
      </c>
    </row>
    <row r="310" spans="1:30" x14ac:dyDescent="0.3">
      <c r="A310" s="5" t="s">
        <v>34</v>
      </c>
      <c r="B310" s="5">
        <v>2021</v>
      </c>
      <c r="C310" s="5" t="s">
        <v>41</v>
      </c>
      <c r="D310" s="5">
        <v>146.6</v>
      </c>
      <c r="E310" s="5">
        <v>204</v>
      </c>
      <c r="F310" s="5">
        <v>172.8</v>
      </c>
      <c r="G310" s="5">
        <v>158.4</v>
      </c>
      <c r="H310" s="5">
        <v>188</v>
      </c>
      <c r="I310" s="5">
        <v>156.80000000000001</v>
      </c>
      <c r="J310" s="5">
        <v>162.19999999999999</v>
      </c>
      <c r="K310" s="5">
        <v>164.1</v>
      </c>
      <c r="L310" s="5">
        <v>119.7</v>
      </c>
      <c r="M310" s="5">
        <v>168.8</v>
      </c>
      <c r="N310" s="5">
        <v>162.69999999999999</v>
      </c>
      <c r="O310" s="5">
        <v>173.9</v>
      </c>
      <c r="P310" s="5">
        <v>164</v>
      </c>
      <c r="Q310" s="5">
        <v>192.1</v>
      </c>
      <c r="R310" s="5">
        <v>164.5</v>
      </c>
      <c r="S310" s="5">
        <v>155.30000000000001</v>
      </c>
      <c r="T310" s="5">
        <v>163.19999999999999</v>
      </c>
      <c r="U310" s="5">
        <v>162.1</v>
      </c>
      <c r="V310" s="5">
        <v>162.6</v>
      </c>
      <c r="W310" s="5">
        <v>157.5</v>
      </c>
      <c r="X310" s="5">
        <v>168.4</v>
      </c>
      <c r="Y310" s="5">
        <v>154</v>
      </c>
      <c r="Z310" s="5">
        <v>157.6</v>
      </c>
      <c r="AA310" s="5">
        <v>163.80000000000001</v>
      </c>
      <c r="AB310" s="5">
        <v>160</v>
      </c>
      <c r="AC310" s="5">
        <v>160</v>
      </c>
      <c r="AD310" s="5">
        <v>163.19999999999999</v>
      </c>
    </row>
    <row r="311" spans="1:30" x14ac:dyDescent="0.3">
      <c r="A311" s="6" t="s">
        <v>30</v>
      </c>
      <c r="B311" s="6">
        <v>2021</v>
      </c>
      <c r="C311" s="6" t="s">
        <v>42</v>
      </c>
      <c r="D311" s="6">
        <v>145.4</v>
      </c>
      <c r="E311" s="6">
        <v>202.1</v>
      </c>
      <c r="F311" s="6">
        <v>172</v>
      </c>
      <c r="G311" s="6">
        <v>158</v>
      </c>
      <c r="H311" s="6">
        <v>195.5</v>
      </c>
      <c r="I311" s="6">
        <v>152.69999999999999</v>
      </c>
      <c r="J311" s="6">
        <v>151.4</v>
      </c>
      <c r="K311" s="6">
        <v>163.9</v>
      </c>
      <c r="L311" s="6">
        <v>119.3</v>
      </c>
      <c r="M311" s="6">
        <v>170.1</v>
      </c>
      <c r="N311" s="6">
        <v>168.3</v>
      </c>
      <c r="O311" s="6">
        <v>172.8</v>
      </c>
      <c r="P311" s="6">
        <v>162.1</v>
      </c>
      <c r="Q311" s="6">
        <v>190.5</v>
      </c>
      <c r="R311" s="6">
        <v>167.7</v>
      </c>
      <c r="S311" s="6">
        <v>163.6</v>
      </c>
      <c r="T311" s="6">
        <v>167.1</v>
      </c>
      <c r="U311" s="6" t="s">
        <v>32</v>
      </c>
      <c r="V311" s="6">
        <v>163.69999999999999</v>
      </c>
      <c r="W311" s="6">
        <v>161.30000000000001</v>
      </c>
      <c r="X311" s="6">
        <v>171.9</v>
      </c>
      <c r="Y311" s="6">
        <v>157.80000000000001</v>
      </c>
      <c r="Z311" s="6">
        <v>162.69999999999999</v>
      </c>
      <c r="AA311" s="6">
        <v>168.5</v>
      </c>
      <c r="AB311" s="6">
        <v>160.19999999999999</v>
      </c>
      <c r="AC311" s="6">
        <v>163.80000000000001</v>
      </c>
      <c r="AD311" s="6">
        <v>164</v>
      </c>
    </row>
    <row r="312" spans="1:30" x14ac:dyDescent="0.3">
      <c r="A312" s="5" t="s">
        <v>33</v>
      </c>
      <c r="B312" s="5">
        <v>2021</v>
      </c>
      <c r="C312" s="5" t="s">
        <v>42</v>
      </c>
      <c r="D312" s="5">
        <v>149.30000000000001</v>
      </c>
      <c r="E312" s="5">
        <v>207.4</v>
      </c>
      <c r="F312" s="5">
        <v>174.1</v>
      </c>
      <c r="G312" s="5">
        <v>159.1</v>
      </c>
      <c r="H312" s="5">
        <v>175</v>
      </c>
      <c r="I312" s="5">
        <v>161.19999999999999</v>
      </c>
      <c r="J312" s="5">
        <v>183.5</v>
      </c>
      <c r="K312" s="5">
        <v>164.5</v>
      </c>
      <c r="L312" s="5">
        <v>120.4</v>
      </c>
      <c r="M312" s="5">
        <v>166.2</v>
      </c>
      <c r="N312" s="5">
        <v>154.80000000000001</v>
      </c>
      <c r="O312" s="5">
        <v>175.1</v>
      </c>
      <c r="P312" s="5">
        <v>167.3</v>
      </c>
      <c r="Q312" s="5">
        <v>196.5</v>
      </c>
      <c r="R312" s="5">
        <v>159.80000000000001</v>
      </c>
      <c r="S312" s="5">
        <v>143.6</v>
      </c>
      <c r="T312" s="5">
        <v>157.4</v>
      </c>
      <c r="U312" s="5">
        <v>162.1</v>
      </c>
      <c r="V312" s="5">
        <v>160.80000000000001</v>
      </c>
      <c r="W312" s="5">
        <v>153.30000000000001</v>
      </c>
      <c r="X312" s="5">
        <v>162.80000000000001</v>
      </c>
      <c r="Y312" s="5">
        <v>150.5</v>
      </c>
      <c r="Z312" s="5">
        <v>153.9</v>
      </c>
      <c r="AA312" s="5">
        <v>160.30000000000001</v>
      </c>
      <c r="AB312" s="5">
        <v>159.6</v>
      </c>
      <c r="AC312" s="5">
        <v>156</v>
      </c>
      <c r="AD312" s="5">
        <v>162.30000000000001</v>
      </c>
    </row>
    <row r="313" spans="1:30" x14ac:dyDescent="0.3">
      <c r="A313" s="6" t="s">
        <v>34</v>
      </c>
      <c r="B313" s="6">
        <v>2021</v>
      </c>
      <c r="C313" s="6" t="s">
        <v>42</v>
      </c>
      <c r="D313" s="6">
        <v>146.6</v>
      </c>
      <c r="E313" s="6">
        <v>204</v>
      </c>
      <c r="F313" s="6">
        <v>172.8</v>
      </c>
      <c r="G313" s="6">
        <v>158.4</v>
      </c>
      <c r="H313" s="6">
        <v>188</v>
      </c>
      <c r="I313" s="6">
        <v>156.69999999999999</v>
      </c>
      <c r="J313" s="6">
        <v>162.30000000000001</v>
      </c>
      <c r="K313" s="6">
        <v>164.1</v>
      </c>
      <c r="L313" s="6">
        <v>119.7</v>
      </c>
      <c r="M313" s="6">
        <v>168.8</v>
      </c>
      <c r="N313" s="6">
        <v>162.69999999999999</v>
      </c>
      <c r="O313" s="6">
        <v>173.9</v>
      </c>
      <c r="P313" s="6">
        <v>164</v>
      </c>
      <c r="Q313" s="6">
        <v>192.1</v>
      </c>
      <c r="R313" s="6">
        <v>164.6</v>
      </c>
      <c r="S313" s="6">
        <v>155.30000000000001</v>
      </c>
      <c r="T313" s="6">
        <v>163.30000000000001</v>
      </c>
      <c r="U313" s="6">
        <v>162.1</v>
      </c>
      <c r="V313" s="6">
        <v>162.6</v>
      </c>
      <c r="W313" s="6">
        <v>157.5</v>
      </c>
      <c r="X313" s="6">
        <v>168.4</v>
      </c>
      <c r="Y313" s="6">
        <v>154</v>
      </c>
      <c r="Z313" s="6">
        <v>157.69999999999999</v>
      </c>
      <c r="AA313" s="6">
        <v>163.69999999999999</v>
      </c>
      <c r="AB313" s="6">
        <v>160</v>
      </c>
      <c r="AC313" s="6">
        <v>160</v>
      </c>
      <c r="AD313" s="6">
        <v>163.19999999999999</v>
      </c>
    </row>
    <row r="314" spans="1:30" x14ac:dyDescent="0.3">
      <c r="A314" s="5" t="s">
        <v>30</v>
      </c>
      <c r="B314" s="5">
        <v>2021</v>
      </c>
      <c r="C314" s="5" t="s">
        <v>43</v>
      </c>
      <c r="D314" s="5">
        <v>146.1</v>
      </c>
      <c r="E314" s="5">
        <v>202.5</v>
      </c>
      <c r="F314" s="5">
        <v>170.1</v>
      </c>
      <c r="G314" s="5">
        <v>158.4</v>
      </c>
      <c r="H314" s="5">
        <v>198.8</v>
      </c>
      <c r="I314" s="5">
        <v>152.6</v>
      </c>
      <c r="J314" s="5">
        <v>170.4</v>
      </c>
      <c r="K314" s="5">
        <v>165.2</v>
      </c>
      <c r="L314" s="5">
        <v>121.6</v>
      </c>
      <c r="M314" s="5">
        <v>170.6</v>
      </c>
      <c r="N314" s="5">
        <v>168.8</v>
      </c>
      <c r="O314" s="5">
        <v>173.6</v>
      </c>
      <c r="P314" s="5">
        <v>165.5</v>
      </c>
      <c r="Q314" s="5">
        <v>191.2</v>
      </c>
      <c r="R314" s="5">
        <v>168.9</v>
      </c>
      <c r="S314" s="5">
        <v>164.8</v>
      </c>
      <c r="T314" s="5">
        <v>168.3</v>
      </c>
      <c r="U314" s="5" t="s">
        <v>32</v>
      </c>
      <c r="V314" s="5">
        <v>165.5</v>
      </c>
      <c r="W314" s="5">
        <v>162</v>
      </c>
      <c r="X314" s="5">
        <v>172.5</v>
      </c>
      <c r="Y314" s="5">
        <v>159.5</v>
      </c>
      <c r="Z314" s="5">
        <v>163.19999999999999</v>
      </c>
      <c r="AA314" s="5">
        <v>169</v>
      </c>
      <c r="AB314" s="5">
        <v>161.1</v>
      </c>
      <c r="AC314" s="5">
        <v>164.7</v>
      </c>
      <c r="AD314" s="5">
        <v>166.3</v>
      </c>
    </row>
    <row r="315" spans="1:30" x14ac:dyDescent="0.3">
      <c r="A315" s="6" t="s">
        <v>33</v>
      </c>
      <c r="B315" s="6">
        <v>2021</v>
      </c>
      <c r="C315" s="6" t="s">
        <v>43</v>
      </c>
      <c r="D315" s="6">
        <v>150.1</v>
      </c>
      <c r="E315" s="6">
        <v>208.4</v>
      </c>
      <c r="F315" s="6">
        <v>173</v>
      </c>
      <c r="G315" s="6">
        <v>159.19999999999999</v>
      </c>
      <c r="H315" s="6">
        <v>176.6</v>
      </c>
      <c r="I315" s="6">
        <v>159.30000000000001</v>
      </c>
      <c r="J315" s="6">
        <v>214.4</v>
      </c>
      <c r="K315" s="6">
        <v>165.3</v>
      </c>
      <c r="L315" s="6">
        <v>122.5</v>
      </c>
      <c r="M315" s="6">
        <v>166.8</v>
      </c>
      <c r="N315" s="6">
        <v>155.4</v>
      </c>
      <c r="O315" s="6">
        <v>175.9</v>
      </c>
      <c r="P315" s="6">
        <v>171.5</v>
      </c>
      <c r="Q315" s="6">
        <v>197</v>
      </c>
      <c r="R315" s="6">
        <v>160.80000000000001</v>
      </c>
      <c r="S315" s="6">
        <v>144.4</v>
      </c>
      <c r="T315" s="6">
        <v>158.30000000000001</v>
      </c>
      <c r="U315" s="6">
        <v>163.6</v>
      </c>
      <c r="V315" s="6">
        <v>162.19999999999999</v>
      </c>
      <c r="W315" s="6">
        <v>154.30000000000001</v>
      </c>
      <c r="X315" s="6">
        <v>163.5</v>
      </c>
      <c r="Y315" s="6">
        <v>152.19999999999999</v>
      </c>
      <c r="Z315" s="6">
        <v>155.1</v>
      </c>
      <c r="AA315" s="6">
        <v>160.30000000000001</v>
      </c>
      <c r="AB315" s="6">
        <v>160.30000000000001</v>
      </c>
      <c r="AC315" s="6">
        <v>157</v>
      </c>
      <c r="AD315" s="6">
        <v>164.6</v>
      </c>
    </row>
    <row r="316" spans="1:30" x14ac:dyDescent="0.3">
      <c r="A316" s="5" t="s">
        <v>34</v>
      </c>
      <c r="B316" s="5">
        <v>2021</v>
      </c>
      <c r="C316" s="5" t="s">
        <v>43</v>
      </c>
      <c r="D316" s="5">
        <v>147.4</v>
      </c>
      <c r="E316" s="5">
        <v>204.6</v>
      </c>
      <c r="F316" s="5">
        <v>171.2</v>
      </c>
      <c r="G316" s="5">
        <v>158.69999999999999</v>
      </c>
      <c r="H316" s="5">
        <v>190.6</v>
      </c>
      <c r="I316" s="5">
        <v>155.69999999999999</v>
      </c>
      <c r="J316" s="5">
        <v>185.3</v>
      </c>
      <c r="K316" s="5">
        <v>165.2</v>
      </c>
      <c r="L316" s="5">
        <v>121.9</v>
      </c>
      <c r="M316" s="5">
        <v>169.3</v>
      </c>
      <c r="N316" s="5">
        <v>163.19999999999999</v>
      </c>
      <c r="O316" s="5">
        <v>174.7</v>
      </c>
      <c r="P316" s="5">
        <v>167.7</v>
      </c>
      <c r="Q316" s="5">
        <v>192.7</v>
      </c>
      <c r="R316" s="5">
        <v>165.7</v>
      </c>
      <c r="S316" s="5">
        <v>156.30000000000001</v>
      </c>
      <c r="T316" s="5">
        <v>164.3</v>
      </c>
      <c r="U316" s="5">
        <v>163.6</v>
      </c>
      <c r="V316" s="5">
        <v>164.2</v>
      </c>
      <c r="W316" s="5">
        <v>158.4</v>
      </c>
      <c r="X316" s="5">
        <v>169.1</v>
      </c>
      <c r="Y316" s="5">
        <v>155.69999999999999</v>
      </c>
      <c r="Z316" s="5">
        <v>158.6</v>
      </c>
      <c r="AA316" s="5">
        <v>163.9</v>
      </c>
      <c r="AB316" s="5">
        <v>160.80000000000001</v>
      </c>
      <c r="AC316" s="5">
        <v>161</v>
      </c>
      <c r="AD316" s="5">
        <v>165.5</v>
      </c>
    </row>
    <row r="317" spans="1:30" x14ac:dyDescent="0.3">
      <c r="A317" s="6" t="s">
        <v>30</v>
      </c>
      <c r="B317" s="6">
        <v>2021</v>
      </c>
      <c r="C317" s="6" t="s">
        <v>45</v>
      </c>
      <c r="D317" s="6">
        <v>146.9</v>
      </c>
      <c r="E317" s="6">
        <v>199.8</v>
      </c>
      <c r="F317" s="6">
        <v>171.5</v>
      </c>
      <c r="G317" s="6">
        <v>159.1</v>
      </c>
      <c r="H317" s="6">
        <v>198.4</v>
      </c>
      <c r="I317" s="6">
        <v>153.19999999999999</v>
      </c>
      <c r="J317" s="6">
        <v>183.9</v>
      </c>
      <c r="K317" s="6">
        <v>165.4</v>
      </c>
      <c r="L317" s="6">
        <v>122.1</v>
      </c>
      <c r="M317" s="6">
        <v>170.8</v>
      </c>
      <c r="N317" s="6">
        <v>169.1</v>
      </c>
      <c r="O317" s="6">
        <v>174.3</v>
      </c>
      <c r="P317" s="6">
        <v>167.5</v>
      </c>
      <c r="Q317" s="6">
        <v>191.4</v>
      </c>
      <c r="R317" s="6">
        <v>170.4</v>
      </c>
      <c r="S317" s="6">
        <v>166</v>
      </c>
      <c r="T317" s="6">
        <v>169.8</v>
      </c>
      <c r="U317" s="6" t="s">
        <v>32</v>
      </c>
      <c r="V317" s="6">
        <v>165.3</v>
      </c>
      <c r="W317" s="6">
        <v>162.9</v>
      </c>
      <c r="X317" s="6">
        <v>173.4</v>
      </c>
      <c r="Y317" s="6">
        <v>158.9</v>
      </c>
      <c r="Z317" s="6">
        <v>163.80000000000001</v>
      </c>
      <c r="AA317" s="6">
        <v>169.3</v>
      </c>
      <c r="AB317" s="6">
        <v>162.4</v>
      </c>
      <c r="AC317" s="6">
        <v>165.2</v>
      </c>
      <c r="AD317" s="6">
        <v>167.6</v>
      </c>
    </row>
    <row r="318" spans="1:30" x14ac:dyDescent="0.3">
      <c r="A318" s="5" t="s">
        <v>33</v>
      </c>
      <c r="B318" s="5">
        <v>2021</v>
      </c>
      <c r="C318" s="5" t="s">
        <v>45</v>
      </c>
      <c r="D318" s="5">
        <v>151</v>
      </c>
      <c r="E318" s="5">
        <v>204.9</v>
      </c>
      <c r="F318" s="5">
        <v>175.4</v>
      </c>
      <c r="G318" s="5">
        <v>159.6</v>
      </c>
      <c r="H318" s="5">
        <v>175.8</v>
      </c>
      <c r="I318" s="5">
        <v>160.30000000000001</v>
      </c>
      <c r="J318" s="5">
        <v>229.1</v>
      </c>
      <c r="K318" s="5">
        <v>165.1</v>
      </c>
      <c r="L318" s="5">
        <v>123.1</v>
      </c>
      <c r="M318" s="5">
        <v>167.2</v>
      </c>
      <c r="N318" s="5">
        <v>156.1</v>
      </c>
      <c r="O318" s="5">
        <v>176.8</v>
      </c>
      <c r="P318" s="5">
        <v>173.5</v>
      </c>
      <c r="Q318" s="5">
        <v>197</v>
      </c>
      <c r="R318" s="5">
        <v>162.30000000000001</v>
      </c>
      <c r="S318" s="5">
        <v>145.30000000000001</v>
      </c>
      <c r="T318" s="5">
        <v>159.69999999999999</v>
      </c>
      <c r="U318" s="5">
        <v>164.2</v>
      </c>
      <c r="V318" s="5">
        <v>161.6</v>
      </c>
      <c r="W318" s="5">
        <v>155.19999999999999</v>
      </c>
      <c r="X318" s="5">
        <v>164.2</v>
      </c>
      <c r="Y318" s="5">
        <v>151.19999999999999</v>
      </c>
      <c r="Z318" s="5">
        <v>156.69999999999999</v>
      </c>
      <c r="AA318" s="5">
        <v>160.80000000000001</v>
      </c>
      <c r="AB318" s="5">
        <v>161.80000000000001</v>
      </c>
      <c r="AC318" s="5">
        <v>157.30000000000001</v>
      </c>
      <c r="AD318" s="5">
        <v>165.6</v>
      </c>
    </row>
    <row r="319" spans="1:30" x14ac:dyDescent="0.3">
      <c r="A319" s="6" t="s">
        <v>34</v>
      </c>
      <c r="B319" s="6">
        <v>2021</v>
      </c>
      <c r="C319" s="6" t="s">
        <v>45</v>
      </c>
      <c r="D319" s="6">
        <v>148.19999999999999</v>
      </c>
      <c r="E319" s="6">
        <v>201.6</v>
      </c>
      <c r="F319" s="6">
        <v>173</v>
      </c>
      <c r="G319" s="6">
        <v>159.30000000000001</v>
      </c>
      <c r="H319" s="6">
        <v>190.1</v>
      </c>
      <c r="I319" s="6">
        <v>156.5</v>
      </c>
      <c r="J319" s="6">
        <v>199.2</v>
      </c>
      <c r="K319" s="6">
        <v>165.3</v>
      </c>
      <c r="L319" s="6">
        <v>122.4</v>
      </c>
      <c r="M319" s="6">
        <v>169.6</v>
      </c>
      <c r="N319" s="6">
        <v>163.69999999999999</v>
      </c>
      <c r="O319" s="6">
        <v>175.5</v>
      </c>
      <c r="P319" s="6">
        <v>169.7</v>
      </c>
      <c r="Q319" s="6">
        <v>192.9</v>
      </c>
      <c r="R319" s="6">
        <v>167.2</v>
      </c>
      <c r="S319" s="6">
        <v>157.4</v>
      </c>
      <c r="T319" s="6">
        <v>165.8</v>
      </c>
      <c r="U319" s="6">
        <v>164.2</v>
      </c>
      <c r="V319" s="6">
        <v>163.9</v>
      </c>
      <c r="W319" s="6">
        <v>159.30000000000001</v>
      </c>
      <c r="X319" s="6">
        <v>169.9</v>
      </c>
      <c r="Y319" s="6">
        <v>154.80000000000001</v>
      </c>
      <c r="Z319" s="6">
        <v>159.80000000000001</v>
      </c>
      <c r="AA319" s="6">
        <v>164.3</v>
      </c>
      <c r="AB319" s="6">
        <v>162.19999999999999</v>
      </c>
      <c r="AC319" s="6">
        <v>161.4</v>
      </c>
      <c r="AD319" s="6">
        <v>166.7</v>
      </c>
    </row>
    <row r="320" spans="1:30" x14ac:dyDescent="0.3">
      <c r="A320" s="5" t="s">
        <v>30</v>
      </c>
      <c r="B320" s="5">
        <v>2021</v>
      </c>
      <c r="C320" s="5" t="s">
        <v>46</v>
      </c>
      <c r="D320" s="5">
        <v>147.4</v>
      </c>
      <c r="E320" s="5">
        <v>197</v>
      </c>
      <c r="F320" s="5">
        <v>176.5</v>
      </c>
      <c r="G320" s="5">
        <v>159.80000000000001</v>
      </c>
      <c r="H320" s="5">
        <v>195.8</v>
      </c>
      <c r="I320" s="5">
        <v>152</v>
      </c>
      <c r="J320" s="5">
        <v>172.3</v>
      </c>
      <c r="K320" s="5">
        <v>164.5</v>
      </c>
      <c r="L320" s="5">
        <v>120.6</v>
      </c>
      <c r="M320" s="5">
        <v>171.7</v>
      </c>
      <c r="N320" s="5">
        <v>169.7</v>
      </c>
      <c r="O320" s="5">
        <v>175.1</v>
      </c>
      <c r="P320" s="5">
        <v>165.8</v>
      </c>
      <c r="Q320" s="5">
        <v>190.8</v>
      </c>
      <c r="R320" s="5">
        <v>171.8</v>
      </c>
      <c r="S320" s="5">
        <v>167.3</v>
      </c>
      <c r="T320" s="5">
        <v>171.2</v>
      </c>
      <c r="U320" s="5" t="s">
        <v>32</v>
      </c>
      <c r="V320" s="5">
        <v>165.6</v>
      </c>
      <c r="W320" s="5">
        <v>163.9</v>
      </c>
      <c r="X320" s="5">
        <v>174</v>
      </c>
      <c r="Y320" s="5">
        <v>160.1</v>
      </c>
      <c r="Z320" s="5">
        <v>164.5</v>
      </c>
      <c r="AA320" s="5">
        <v>169.7</v>
      </c>
      <c r="AB320" s="5">
        <v>162.80000000000001</v>
      </c>
      <c r="AC320" s="5">
        <v>166</v>
      </c>
      <c r="AD320" s="5">
        <v>167</v>
      </c>
    </row>
    <row r="321" spans="1:31" x14ac:dyDescent="0.3">
      <c r="A321" s="6" t="s">
        <v>33</v>
      </c>
      <c r="B321" s="6">
        <v>2021</v>
      </c>
      <c r="C321" s="6" t="s">
        <v>46</v>
      </c>
      <c r="D321" s="6">
        <v>151.6</v>
      </c>
      <c r="E321" s="6">
        <v>202.2</v>
      </c>
      <c r="F321" s="6">
        <v>180</v>
      </c>
      <c r="G321" s="6">
        <v>160</v>
      </c>
      <c r="H321" s="6">
        <v>173.5</v>
      </c>
      <c r="I321" s="6">
        <v>158.30000000000001</v>
      </c>
      <c r="J321" s="6">
        <v>219.5</v>
      </c>
      <c r="K321" s="6">
        <v>164.2</v>
      </c>
      <c r="L321" s="6">
        <v>121.9</v>
      </c>
      <c r="M321" s="6">
        <v>168.2</v>
      </c>
      <c r="N321" s="6">
        <v>156.5</v>
      </c>
      <c r="O321" s="6">
        <v>178.2</v>
      </c>
      <c r="P321" s="6">
        <v>172.2</v>
      </c>
      <c r="Q321" s="6">
        <v>196.8</v>
      </c>
      <c r="R321" s="6">
        <v>163.30000000000001</v>
      </c>
      <c r="S321" s="6">
        <v>146.69999999999999</v>
      </c>
      <c r="T321" s="6">
        <v>160.69999999999999</v>
      </c>
      <c r="U321" s="6">
        <v>163.4</v>
      </c>
      <c r="V321" s="6">
        <v>161.69999999999999</v>
      </c>
      <c r="W321" s="6">
        <v>156</v>
      </c>
      <c r="X321" s="6">
        <v>165.1</v>
      </c>
      <c r="Y321" s="6">
        <v>151.80000000000001</v>
      </c>
      <c r="Z321" s="6">
        <v>157.6</v>
      </c>
      <c r="AA321" s="6">
        <v>160.6</v>
      </c>
      <c r="AB321" s="6">
        <v>162.4</v>
      </c>
      <c r="AC321" s="6">
        <v>157.80000000000001</v>
      </c>
      <c r="AD321" s="6">
        <v>165.2</v>
      </c>
    </row>
    <row r="322" spans="1:31" x14ac:dyDescent="0.3">
      <c r="A322" s="5" t="s">
        <v>34</v>
      </c>
      <c r="B322" s="5">
        <v>2021</v>
      </c>
      <c r="C322" s="5" t="s">
        <v>46</v>
      </c>
      <c r="D322" s="5">
        <v>148.69999999999999</v>
      </c>
      <c r="E322" s="5">
        <v>198.8</v>
      </c>
      <c r="F322" s="5">
        <v>177.9</v>
      </c>
      <c r="G322" s="5">
        <v>159.9</v>
      </c>
      <c r="H322" s="5">
        <v>187.6</v>
      </c>
      <c r="I322" s="5">
        <v>154.9</v>
      </c>
      <c r="J322" s="5">
        <v>188.3</v>
      </c>
      <c r="K322" s="5">
        <v>164.4</v>
      </c>
      <c r="L322" s="5">
        <v>121</v>
      </c>
      <c r="M322" s="5">
        <v>170.5</v>
      </c>
      <c r="N322" s="5">
        <v>164.2</v>
      </c>
      <c r="O322" s="5">
        <v>176.5</v>
      </c>
      <c r="P322" s="5">
        <v>168.2</v>
      </c>
      <c r="Q322" s="5">
        <v>192.4</v>
      </c>
      <c r="R322" s="5">
        <v>168.5</v>
      </c>
      <c r="S322" s="5">
        <v>158.69999999999999</v>
      </c>
      <c r="T322" s="5">
        <v>167</v>
      </c>
      <c r="U322" s="5">
        <v>163.4</v>
      </c>
      <c r="V322" s="5">
        <v>164.1</v>
      </c>
      <c r="W322" s="5">
        <v>160.19999999999999</v>
      </c>
      <c r="X322" s="5">
        <v>170.6</v>
      </c>
      <c r="Y322" s="5">
        <v>155.69999999999999</v>
      </c>
      <c r="Z322" s="5">
        <v>160.6</v>
      </c>
      <c r="AA322" s="5">
        <v>164.4</v>
      </c>
      <c r="AB322" s="5">
        <v>162.6</v>
      </c>
      <c r="AC322" s="5">
        <v>162</v>
      </c>
      <c r="AD322" s="5">
        <v>166.2</v>
      </c>
    </row>
    <row r="323" spans="1:31" x14ac:dyDescent="0.3">
      <c r="A323" s="6" t="s">
        <v>30</v>
      </c>
      <c r="B323" s="6">
        <v>2022</v>
      </c>
      <c r="C323" s="6" t="s">
        <v>31</v>
      </c>
      <c r="D323" s="6">
        <v>148.30000000000001</v>
      </c>
      <c r="E323" s="6">
        <v>196.9</v>
      </c>
      <c r="F323" s="6">
        <v>178</v>
      </c>
      <c r="G323" s="6">
        <v>160.5</v>
      </c>
      <c r="H323" s="6">
        <v>192.6</v>
      </c>
      <c r="I323" s="6">
        <v>151.19999999999999</v>
      </c>
      <c r="J323" s="6">
        <v>159.19999999999999</v>
      </c>
      <c r="K323" s="6">
        <v>164</v>
      </c>
      <c r="L323" s="6">
        <v>119.3</v>
      </c>
      <c r="M323" s="6">
        <v>173.3</v>
      </c>
      <c r="N323" s="6">
        <v>169.8</v>
      </c>
      <c r="O323" s="6">
        <v>175.8</v>
      </c>
      <c r="P323" s="6">
        <v>164.1</v>
      </c>
      <c r="Q323" s="6">
        <v>190.7</v>
      </c>
      <c r="R323" s="6">
        <v>173.2</v>
      </c>
      <c r="S323" s="6">
        <v>169.3</v>
      </c>
      <c r="T323" s="6">
        <v>172.7</v>
      </c>
      <c r="U323" s="6" t="s">
        <v>32</v>
      </c>
      <c r="V323" s="6">
        <v>165.8</v>
      </c>
      <c r="W323" s="6">
        <v>164.9</v>
      </c>
      <c r="X323" s="6">
        <v>174.7</v>
      </c>
      <c r="Y323" s="6">
        <v>160.80000000000001</v>
      </c>
      <c r="Z323" s="6">
        <v>164.9</v>
      </c>
      <c r="AA323" s="6">
        <v>169.9</v>
      </c>
      <c r="AB323" s="6">
        <v>163.19999999999999</v>
      </c>
      <c r="AC323" s="6">
        <v>166.6</v>
      </c>
      <c r="AD323" s="6">
        <v>166.4</v>
      </c>
    </row>
    <row r="324" spans="1:31" x14ac:dyDescent="0.3">
      <c r="A324" s="5" t="s">
        <v>33</v>
      </c>
      <c r="B324" s="5">
        <v>2022</v>
      </c>
      <c r="C324" s="5" t="s">
        <v>31</v>
      </c>
      <c r="D324" s="5">
        <v>152.19999999999999</v>
      </c>
      <c r="E324" s="5">
        <v>202.1</v>
      </c>
      <c r="F324" s="5">
        <v>180.1</v>
      </c>
      <c r="G324" s="5">
        <v>160.4</v>
      </c>
      <c r="H324" s="5">
        <v>171</v>
      </c>
      <c r="I324" s="5">
        <v>156.5</v>
      </c>
      <c r="J324" s="5">
        <v>203.6</v>
      </c>
      <c r="K324" s="5">
        <v>163.80000000000001</v>
      </c>
      <c r="L324" s="5">
        <v>121.3</v>
      </c>
      <c r="M324" s="5">
        <v>169.8</v>
      </c>
      <c r="N324" s="5">
        <v>156.6</v>
      </c>
      <c r="O324" s="5">
        <v>179</v>
      </c>
      <c r="P324" s="5">
        <v>170.3</v>
      </c>
      <c r="Q324" s="5">
        <v>196.4</v>
      </c>
      <c r="R324" s="5">
        <v>164.7</v>
      </c>
      <c r="S324" s="5">
        <v>148.5</v>
      </c>
      <c r="T324" s="5">
        <v>162.19999999999999</v>
      </c>
      <c r="U324" s="5">
        <v>164.5</v>
      </c>
      <c r="V324" s="5">
        <v>161.6</v>
      </c>
      <c r="W324" s="5">
        <v>156.80000000000001</v>
      </c>
      <c r="X324" s="5">
        <v>166.1</v>
      </c>
      <c r="Y324" s="5">
        <v>152.69999999999999</v>
      </c>
      <c r="Z324" s="5">
        <v>158.4</v>
      </c>
      <c r="AA324" s="5">
        <v>161</v>
      </c>
      <c r="AB324" s="5">
        <v>162.80000000000001</v>
      </c>
      <c r="AC324" s="5">
        <v>158.6</v>
      </c>
      <c r="AD324" s="5">
        <v>165</v>
      </c>
    </row>
    <row r="325" spans="1:31" x14ac:dyDescent="0.3">
      <c r="A325" s="6" t="s">
        <v>34</v>
      </c>
      <c r="B325" s="6">
        <v>2022</v>
      </c>
      <c r="C325" s="6" t="s">
        <v>31</v>
      </c>
      <c r="D325" s="6">
        <v>149.5</v>
      </c>
      <c r="E325" s="6">
        <v>198.7</v>
      </c>
      <c r="F325" s="6">
        <v>178.8</v>
      </c>
      <c r="G325" s="6">
        <v>160.5</v>
      </c>
      <c r="H325" s="6">
        <v>184.7</v>
      </c>
      <c r="I325" s="6">
        <v>153.69999999999999</v>
      </c>
      <c r="J325" s="6">
        <v>174.3</v>
      </c>
      <c r="K325" s="6">
        <v>163.9</v>
      </c>
      <c r="L325" s="6">
        <v>120</v>
      </c>
      <c r="M325" s="6">
        <v>172.1</v>
      </c>
      <c r="N325" s="6">
        <v>164.3</v>
      </c>
      <c r="O325" s="6">
        <v>177.3</v>
      </c>
      <c r="P325" s="6">
        <v>166.4</v>
      </c>
      <c r="Q325" s="6">
        <v>192.2</v>
      </c>
      <c r="R325" s="6">
        <v>169.9</v>
      </c>
      <c r="S325" s="6">
        <v>160.69999999999999</v>
      </c>
      <c r="T325" s="6">
        <v>168.5</v>
      </c>
      <c r="U325" s="6">
        <v>164.5</v>
      </c>
      <c r="V325" s="6">
        <v>164.2</v>
      </c>
      <c r="W325" s="6">
        <v>161.1</v>
      </c>
      <c r="X325" s="6">
        <v>171.4</v>
      </c>
      <c r="Y325" s="6">
        <v>156.5</v>
      </c>
      <c r="Z325" s="6">
        <v>161.19999999999999</v>
      </c>
      <c r="AA325" s="6">
        <v>164.7</v>
      </c>
      <c r="AB325" s="6">
        <v>163</v>
      </c>
      <c r="AC325" s="6">
        <v>162.69999999999999</v>
      </c>
      <c r="AD325" s="6">
        <v>165.7</v>
      </c>
      <c r="AE325">
        <f>SUM(Table1[[#This Row],[Cereals and products]:[Food and beverages]])</f>
        <v>2164.1999999999998</v>
      </c>
    </row>
    <row r="326" spans="1:31" x14ac:dyDescent="0.3">
      <c r="A326" s="5" t="s">
        <v>30</v>
      </c>
      <c r="B326" s="5">
        <v>2022</v>
      </c>
      <c r="C326" s="5" t="s">
        <v>35</v>
      </c>
      <c r="D326" s="5">
        <v>148.80000000000001</v>
      </c>
      <c r="E326" s="5">
        <v>198.1</v>
      </c>
      <c r="F326" s="5">
        <v>175.5</v>
      </c>
      <c r="G326" s="5">
        <v>160.69999999999999</v>
      </c>
      <c r="H326" s="5">
        <v>192.6</v>
      </c>
      <c r="I326" s="5">
        <v>151.4</v>
      </c>
      <c r="J326" s="5">
        <v>155.19999999999999</v>
      </c>
      <c r="K326" s="5">
        <v>163.9</v>
      </c>
      <c r="L326" s="5">
        <v>118.1</v>
      </c>
      <c r="M326" s="5">
        <v>175.4</v>
      </c>
      <c r="N326" s="5">
        <v>170.5</v>
      </c>
      <c r="O326" s="5">
        <v>176.3</v>
      </c>
      <c r="P326" s="5">
        <v>163.9</v>
      </c>
      <c r="Q326" s="5">
        <v>191.5</v>
      </c>
      <c r="R326" s="5">
        <v>174.1</v>
      </c>
      <c r="S326" s="5">
        <v>171</v>
      </c>
      <c r="T326" s="5">
        <v>173.7</v>
      </c>
      <c r="U326" s="5" t="s">
        <v>32</v>
      </c>
      <c r="V326" s="5">
        <v>167.4</v>
      </c>
      <c r="W326" s="5">
        <v>165.7</v>
      </c>
      <c r="X326" s="5">
        <v>175.3</v>
      </c>
      <c r="Y326" s="5">
        <v>161.19999999999999</v>
      </c>
      <c r="Z326" s="5">
        <v>165.5</v>
      </c>
      <c r="AA326" s="5">
        <v>170.3</v>
      </c>
      <c r="AB326" s="5">
        <v>164.5</v>
      </c>
      <c r="AC326" s="5">
        <v>167.3</v>
      </c>
      <c r="AD326" s="5">
        <v>166.7</v>
      </c>
      <c r="AE326">
        <f>SUM(Table1[[#This Row],[Cereals and products]:[Food and beverages]])</f>
        <v>2150.4</v>
      </c>
    </row>
    <row r="327" spans="1:31" x14ac:dyDescent="0.3">
      <c r="A327" s="6" t="s">
        <v>33</v>
      </c>
      <c r="B327" s="6">
        <v>2022</v>
      </c>
      <c r="C327" s="6" t="s">
        <v>35</v>
      </c>
      <c r="D327" s="6">
        <v>152.5</v>
      </c>
      <c r="E327" s="6">
        <v>205.2</v>
      </c>
      <c r="F327" s="6">
        <v>176.4</v>
      </c>
      <c r="G327" s="6">
        <v>160.6</v>
      </c>
      <c r="H327" s="6">
        <v>171.5</v>
      </c>
      <c r="I327" s="6">
        <v>156.4</v>
      </c>
      <c r="J327" s="6">
        <v>198</v>
      </c>
      <c r="K327" s="6">
        <v>163.19999999999999</v>
      </c>
      <c r="L327" s="6">
        <v>120.6</v>
      </c>
      <c r="M327" s="6">
        <v>172.2</v>
      </c>
      <c r="N327" s="6">
        <v>156.69999999999999</v>
      </c>
      <c r="O327" s="6">
        <v>180</v>
      </c>
      <c r="P327" s="6">
        <v>170.2</v>
      </c>
      <c r="Q327" s="6">
        <v>196.5</v>
      </c>
      <c r="R327" s="6">
        <v>165.7</v>
      </c>
      <c r="S327" s="6">
        <v>150.4</v>
      </c>
      <c r="T327" s="6">
        <v>163.4</v>
      </c>
      <c r="U327" s="6">
        <v>165.5</v>
      </c>
      <c r="V327" s="6">
        <v>163</v>
      </c>
      <c r="W327" s="6">
        <v>157.4</v>
      </c>
      <c r="X327" s="6">
        <v>167.2</v>
      </c>
      <c r="Y327" s="6">
        <v>153.1</v>
      </c>
      <c r="Z327" s="6">
        <v>159.5</v>
      </c>
      <c r="AA327" s="6">
        <v>162</v>
      </c>
      <c r="AB327" s="6">
        <v>164.2</v>
      </c>
      <c r="AC327" s="6">
        <v>159.4</v>
      </c>
      <c r="AD327" s="6">
        <v>165.5</v>
      </c>
      <c r="AE327">
        <f>SUM(Table1[[#This Row],[Cereals and products]:[Food and beverages]])</f>
        <v>2183.5</v>
      </c>
    </row>
    <row r="328" spans="1:31" x14ac:dyDescent="0.3">
      <c r="A328" s="5" t="s">
        <v>34</v>
      </c>
      <c r="B328" s="5">
        <v>2022</v>
      </c>
      <c r="C328" s="5" t="s">
        <v>35</v>
      </c>
      <c r="D328" s="5">
        <v>150</v>
      </c>
      <c r="E328" s="5">
        <v>200.6</v>
      </c>
      <c r="F328" s="5">
        <v>175.8</v>
      </c>
      <c r="G328" s="5">
        <v>160.69999999999999</v>
      </c>
      <c r="H328" s="5">
        <v>184.9</v>
      </c>
      <c r="I328" s="5">
        <v>153.69999999999999</v>
      </c>
      <c r="J328" s="5">
        <v>169.7</v>
      </c>
      <c r="K328" s="5">
        <v>163.69999999999999</v>
      </c>
      <c r="L328" s="5">
        <v>118.9</v>
      </c>
      <c r="M328" s="5">
        <v>174.3</v>
      </c>
      <c r="N328" s="5">
        <v>164.7</v>
      </c>
      <c r="O328" s="5">
        <v>178</v>
      </c>
      <c r="P328" s="5">
        <v>166.2</v>
      </c>
      <c r="Q328" s="5">
        <v>192.8</v>
      </c>
      <c r="R328" s="5">
        <v>170.8</v>
      </c>
      <c r="S328" s="5">
        <v>162.4</v>
      </c>
      <c r="T328" s="5">
        <v>169.6</v>
      </c>
      <c r="U328" s="5">
        <v>165.5</v>
      </c>
      <c r="V328" s="5">
        <v>165.7</v>
      </c>
      <c r="W328" s="5">
        <v>161.80000000000001</v>
      </c>
      <c r="X328" s="5">
        <v>172.2</v>
      </c>
      <c r="Y328" s="5">
        <v>156.9</v>
      </c>
      <c r="Z328" s="5">
        <v>162.1</v>
      </c>
      <c r="AA328" s="5">
        <v>165.4</v>
      </c>
      <c r="AB328" s="5">
        <v>164.4</v>
      </c>
      <c r="AC328" s="5">
        <v>163.5</v>
      </c>
      <c r="AD328" s="5">
        <v>166.1</v>
      </c>
      <c r="AE328">
        <f>SUM(Table1[[#This Row],[Cereals and products]:[Food and beverages]])</f>
        <v>2161.2000000000003</v>
      </c>
    </row>
    <row r="329" spans="1:31" x14ac:dyDescent="0.3">
      <c r="A329" s="6" t="s">
        <v>30</v>
      </c>
      <c r="B329" s="6">
        <v>2022</v>
      </c>
      <c r="C329" s="6" t="s">
        <v>36</v>
      </c>
      <c r="D329" s="6">
        <v>150.19999999999999</v>
      </c>
      <c r="E329" s="6">
        <v>208</v>
      </c>
      <c r="F329" s="6">
        <v>167.9</v>
      </c>
      <c r="G329" s="6">
        <v>162</v>
      </c>
      <c r="H329" s="6">
        <v>203.1</v>
      </c>
      <c r="I329" s="6">
        <v>155.9</v>
      </c>
      <c r="J329" s="6">
        <v>155.80000000000001</v>
      </c>
      <c r="K329" s="6">
        <v>164.2</v>
      </c>
      <c r="L329" s="6">
        <v>118.1</v>
      </c>
      <c r="M329" s="6">
        <v>178.7</v>
      </c>
      <c r="N329" s="6">
        <v>171.2</v>
      </c>
      <c r="O329" s="6">
        <v>177.4</v>
      </c>
      <c r="P329" s="6">
        <v>166.6</v>
      </c>
      <c r="Q329" s="6">
        <v>192.3</v>
      </c>
      <c r="R329" s="6">
        <v>175.4</v>
      </c>
      <c r="S329" s="6">
        <v>173.2</v>
      </c>
      <c r="T329" s="6">
        <v>175.1</v>
      </c>
      <c r="U329" s="6" t="s">
        <v>32</v>
      </c>
      <c r="V329" s="6">
        <v>168.9</v>
      </c>
      <c r="W329" s="6">
        <v>166.5</v>
      </c>
      <c r="X329" s="6">
        <v>176</v>
      </c>
      <c r="Y329" s="6">
        <v>162</v>
      </c>
      <c r="Z329" s="6">
        <v>166.6</v>
      </c>
      <c r="AA329" s="6">
        <v>170.6</v>
      </c>
      <c r="AB329" s="6">
        <v>167.4</v>
      </c>
      <c r="AC329" s="6">
        <v>168.3</v>
      </c>
      <c r="AD329" s="6">
        <v>168.7</v>
      </c>
      <c r="AE329">
        <f>SUM(Table1[[#This Row],[Cereals and products]:[Food and beverages]])</f>
        <v>2179.1000000000004</v>
      </c>
    </row>
    <row r="330" spans="1:31" x14ac:dyDescent="0.3">
      <c r="A330" s="5" t="s">
        <v>33</v>
      </c>
      <c r="B330" s="5">
        <v>2022</v>
      </c>
      <c r="C330" s="5" t="s">
        <v>36</v>
      </c>
      <c r="D330" s="5">
        <v>153.69999999999999</v>
      </c>
      <c r="E330" s="5">
        <v>215.8</v>
      </c>
      <c r="F330" s="5">
        <v>167.7</v>
      </c>
      <c r="G330" s="5">
        <v>162.6</v>
      </c>
      <c r="H330" s="5">
        <v>180</v>
      </c>
      <c r="I330" s="5">
        <v>159.6</v>
      </c>
      <c r="J330" s="5">
        <v>188.4</v>
      </c>
      <c r="K330" s="5">
        <v>163.4</v>
      </c>
      <c r="L330" s="5">
        <v>120.3</v>
      </c>
      <c r="M330" s="5">
        <v>174.7</v>
      </c>
      <c r="N330" s="5">
        <v>157.1</v>
      </c>
      <c r="O330" s="5">
        <v>181.5</v>
      </c>
      <c r="P330" s="5">
        <v>171.5</v>
      </c>
      <c r="Q330" s="5">
        <v>197.5</v>
      </c>
      <c r="R330" s="5">
        <v>167.1</v>
      </c>
      <c r="S330" s="5">
        <v>152.6</v>
      </c>
      <c r="T330" s="5">
        <v>164.9</v>
      </c>
      <c r="U330" s="5">
        <v>165.3</v>
      </c>
      <c r="V330" s="5">
        <v>164.5</v>
      </c>
      <c r="W330" s="5">
        <v>158.6</v>
      </c>
      <c r="X330" s="5">
        <v>168.2</v>
      </c>
      <c r="Y330" s="5">
        <v>154.19999999999999</v>
      </c>
      <c r="Z330" s="5">
        <v>160.80000000000001</v>
      </c>
      <c r="AA330" s="5">
        <v>162.69999999999999</v>
      </c>
      <c r="AB330" s="5">
        <v>166.8</v>
      </c>
      <c r="AC330" s="5">
        <v>160.6</v>
      </c>
      <c r="AD330" s="5">
        <v>166.5</v>
      </c>
      <c r="AE330">
        <f>SUM(Table1[[#This Row],[Cereals and products]:[Food and beverages]])</f>
        <v>2196.3000000000002</v>
      </c>
    </row>
    <row r="331" spans="1:31" x14ac:dyDescent="0.3">
      <c r="A331" s="6" t="s">
        <v>34</v>
      </c>
      <c r="B331" s="6">
        <v>2022</v>
      </c>
      <c r="C331" s="6" t="s">
        <v>36</v>
      </c>
      <c r="D331" s="6">
        <v>151.30000000000001</v>
      </c>
      <c r="E331" s="6">
        <v>210.7</v>
      </c>
      <c r="F331" s="6">
        <v>167.8</v>
      </c>
      <c r="G331" s="6">
        <v>162.19999999999999</v>
      </c>
      <c r="H331" s="6">
        <v>194.6</v>
      </c>
      <c r="I331" s="6">
        <v>157.6</v>
      </c>
      <c r="J331" s="6">
        <v>166.9</v>
      </c>
      <c r="K331" s="6">
        <v>163.9</v>
      </c>
      <c r="L331" s="6">
        <v>118.8</v>
      </c>
      <c r="M331" s="6">
        <v>177.4</v>
      </c>
      <c r="N331" s="6">
        <v>165.3</v>
      </c>
      <c r="O331" s="6">
        <v>179.3</v>
      </c>
      <c r="P331" s="6">
        <v>168.4</v>
      </c>
      <c r="Q331" s="6">
        <v>193.7</v>
      </c>
      <c r="R331" s="6">
        <v>172.1</v>
      </c>
      <c r="S331" s="6">
        <v>164.6</v>
      </c>
      <c r="T331" s="6">
        <v>171.1</v>
      </c>
      <c r="U331" s="6">
        <v>165.3</v>
      </c>
      <c r="V331" s="6">
        <v>167.2</v>
      </c>
      <c r="W331" s="6">
        <v>162.80000000000001</v>
      </c>
      <c r="X331" s="6">
        <v>173</v>
      </c>
      <c r="Y331" s="6">
        <v>157.9</v>
      </c>
      <c r="Z331" s="6">
        <v>163.30000000000001</v>
      </c>
      <c r="AA331" s="6">
        <v>166</v>
      </c>
      <c r="AB331" s="6">
        <v>167.2</v>
      </c>
      <c r="AC331" s="6">
        <v>164.6</v>
      </c>
      <c r="AD331" s="6">
        <v>167.7</v>
      </c>
      <c r="AE331">
        <f>SUM(Table1[[#This Row],[Cereals and products]:[Food and beverages]])</f>
        <v>2184.2000000000003</v>
      </c>
    </row>
    <row r="332" spans="1:31" x14ac:dyDescent="0.3">
      <c r="A332" s="5" t="s">
        <v>30</v>
      </c>
      <c r="B332" s="5">
        <v>2022</v>
      </c>
      <c r="C332" s="5" t="s">
        <v>37</v>
      </c>
      <c r="D332" s="5">
        <v>151.80000000000001</v>
      </c>
      <c r="E332" s="5">
        <v>209.7</v>
      </c>
      <c r="F332" s="5">
        <v>164.5</v>
      </c>
      <c r="G332" s="5">
        <v>163.80000000000001</v>
      </c>
      <c r="H332" s="5">
        <v>207.4</v>
      </c>
      <c r="I332" s="5">
        <v>169.7</v>
      </c>
      <c r="J332" s="5">
        <v>153.6</v>
      </c>
      <c r="K332" s="5">
        <v>165.1</v>
      </c>
      <c r="L332" s="5">
        <v>118.2</v>
      </c>
      <c r="M332" s="5">
        <v>182.9</v>
      </c>
      <c r="N332" s="5">
        <v>172.4</v>
      </c>
      <c r="O332" s="5">
        <v>178.9</v>
      </c>
      <c r="P332" s="5">
        <v>168.6</v>
      </c>
      <c r="Q332" s="5">
        <v>192.8</v>
      </c>
      <c r="R332" s="5">
        <v>177.5</v>
      </c>
      <c r="S332" s="5">
        <v>175.1</v>
      </c>
      <c r="T332" s="5">
        <v>177.1</v>
      </c>
      <c r="U332" s="5" t="s">
        <v>32</v>
      </c>
      <c r="V332" s="5">
        <v>173.3</v>
      </c>
      <c r="W332" s="5">
        <v>167.7</v>
      </c>
      <c r="X332" s="5">
        <v>177</v>
      </c>
      <c r="Y332" s="5">
        <v>166.2</v>
      </c>
      <c r="Z332" s="5">
        <v>167.2</v>
      </c>
      <c r="AA332" s="5">
        <v>170.9</v>
      </c>
      <c r="AB332" s="5">
        <v>169</v>
      </c>
      <c r="AC332" s="5">
        <v>170.2</v>
      </c>
      <c r="AD332" s="5">
        <v>170.8</v>
      </c>
      <c r="AE332">
        <f>SUM(Table1[[#This Row],[Cereals and products]:[Food and beverages]])</f>
        <v>2206.6</v>
      </c>
    </row>
    <row r="333" spans="1:31" x14ac:dyDescent="0.3">
      <c r="A333" s="6" t="s">
        <v>33</v>
      </c>
      <c r="B333" s="6">
        <v>2022</v>
      </c>
      <c r="C333" s="6" t="s">
        <v>37</v>
      </c>
      <c r="D333" s="6">
        <v>155.4</v>
      </c>
      <c r="E333" s="6">
        <v>215.8</v>
      </c>
      <c r="F333" s="6">
        <v>164.6</v>
      </c>
      <c r="G333" s="6">
        <v>164.2</v>
      </c>
      <c r="H333" s="6">
        <v>186</v>
      </c>
      <c r="I333" s="6">
        <v>175.9</v>
      </c>
      <c r="J333" s="6">
        <v>190.7</v>
      </c>
      <c r="K333" s="6">
        <v>164</v>
      </c>
      <c r="L333" s="6">
        <v>120.5</v>
      </c>
      <c r="M333" s="6">
        <v>178</v>
      </c>
      <c r="N333" s="6">
        <v>157.5</v>
      </c>
      <c r="O333" s="6">
        <v>183.3</v>
      </c>
      <c r="P333" s="6">
        <v>174.5</v>
      </c>
      <c r="Q333" s="6">
        <v>197.1</v>
      </c>
      <c r="R333" s="6">
        <v>168.4</v>
      </c>
      <c r="S333" s="6">
        <v>154.5</v>
      </c>
      <c r="T333" s="6">
        <v>166.3</v>
      </c>
      <c r="U333" s="6">
        <v>167</v>
      </c>
      <c r="V333" s="6">
        <v>170.5</v>
      </c>
      <c r="W333" s="6">
        <v>159.80000000000001</v>
      </c>
      <c r="X333" s="6">
        <v>169</v>
      </c>
      <c r="Y333" s="6">
        <v>159.30000000000001</v>
      </c>
      <c r="Z333" s="6">
        <v>162.19999999999999</v>
      </c>
      <c r="AA333" s="6">
        <v>164</v>
      </c>
      <c r="AB333" s="6">
        <v>168.4</v>
      </c>
      <c r="AC333" s="6">
        <v>163.1</v>
      </c>
      <c r="AD333" s="6">
        <v>169.2</v>
      </c>
      <c r="AE333">
        <f>SUM(Table1[[#This Row],[Cereals and products]:[Food and beverages]])</f>
        <v>2230.4</v>
      </c>
    </row>
    <row r="334" spans="1:31" x14ac:dyDescent="0.3">
      <c r="A334" s="5" t="s">
        <v>34</v>
      </c>
      <c r="B334" s="5">
        <v>2022</v>
      </c>
      <c r="C334" s="5" t="s">
        <v>37</v>
      </c>
      <c r="D334" s="5">
        <v>152.9</v>
      </c>
      <c r="E334" s="5">
        <v>211.8</v>
      </c>
      <c r="F334" s="5">
        <v>164.5</v>
      </c>
      <c r="G334" s="5">
        <v>163.9</v>
      </c>
      <c r="H334" s="5">
        <v>199.5</v>
      </c>
      <c r="I334" s="5">
        <v>172.6</v>
      </c>
      <c r="J334" s="5">
        <v>166.2</v>
      </c>
      <c r="K334" s="5">
        <v>164.7</v>
      </c>
      <c r="L334" s="5">
        <v>119</v>
      </c>
      <c r="M334" s="5">
        <v>181.3</v>
      </c>
      <c r="N334" s="5">
        <v>166.2</v>
      </c>
      <c r="O334" s="5">
        <v>180.9</v>
      </c>
      <c r="P334" s="5">
        <v>170.8</v>
      </c>
      <c r="Q334" s="5">
        <v>193.9</v>
      </c>
      <c r="R334" s="5">
        <v>173.9</v>
      </c>
      <c r="S334" s="5">
        <v>166.5</v>
      </c>
      <c r="T334" s="5">
        <v>172.8</v>
      </c>
      <c r="U334" s="5">
        <v>167</v>
      </c>
      <c r="V334" s="5">
        <v>172.2</v>
      </c>
      <c r="W334" s="5">
        <v>164</v>
      </c>
      <c r="X334" s="5">
        <v>174</v>
      </c>
      <c r="Y334" s="5">
        <v>162.6</v>
      </c>
      <c r="Z334" s="5">
        <v>164.4</v>
      </c>
      <c r="AA334" s="5">
        <v>166.9</v>
      </c>
      <c r="AB334" s="5">
        <v>168.8</v>
      </c>
      <c r="AC334" s="5">
        <v>166.8</v>
      </c>
      <c r="AD334" s="5">
        <v>170.1</v>
      </c>
      <c r="AE334">
        <f>SUM(Table1[[#This Row],[Cereals and products]:[Food and beverages]])</f>
        <v>2214.3000000000002</v>
      </c>
    </row>
    <row r="335" spans="1:31" x14ac:dyDescent="0.3">
      <c r="A335" s="6" t="s">
        <v>30</v>
      </c>
      <c r="B335" s="6">
        <v>2022</v>
      </c>
      <c r="C335" s="6" t="s">
        <v>38</v>
      </c>
      <c r="D335" s="6">
        <v>152.9</v>
      </c>
      <c r="E335" s="6">
        <v>214.7</v>
      </c>
      <c r="F335" s="6">
        <v>161.4</v>
      </c>
      <c r="G335" s="6">
        <v>164.6</v>
      </c>
      <c r="H335" s="6">
        <v>209.9</v>
      </c>
      <c r="I335" s="6">
        <v>168</v>
      </c>
      <c r="J335" s="6">
        <v>160.4</v>
      </c>
      <c r="K335" s="6">
        <v>165</v>
      </c>
      <c r="L335" s="6">
        <v>118.9</v>
      </c>
      <c r="M335" s="6">
        <v>186.6</v>
      </c>
      <c r="N335" s="6">
        <v>173.2</v>
      </c>
      <c r="O335" s="6">
        <v>180.4</v>
      </c>
      <c r="P335" s="6">
        <v>170.8</v>
      </c>
      <c r="Q335" s="6">
        <v>192.9</v>
      </c>
      <c r="R335" s="6">
        <v>179.3</v>
      </c>
      <c r="S335" s="6">
        <v>177.2</v>
      </c>
      <c r="T335" s="6">
        <v>179</v>
      </c>
      <c r="U335" s="6" t="s">
        <v>32</v>
      </c>
      <c r="V335" s="6">
        <v>175.3</v>
      </c>
      <c r="W335" s="6">
        <v>168.9</v>
      </c>
      <c r="X335" s="6">
        <v>177.7</v>
      </c>
      <c r="Y335" s="6">
        <v>167.1</v>
      </c>
      <c r="Z335" s="6">
        <v>167.6</v>
      </c>
      <c r="AA335" s="6">
        <v>171.8</v>
      </c>
      <c r="AB335" s="6">
        <v>168.5</v>
      </c>
      <c r="AC335" s="6">
        <v>170.9</v>
      </c>
      <c r="AD335" s="6">
        <v>172.5</v>
      </c>
      <c r="AE335">
        <f>SUM(Table1[[#This Row],[Cereals and products]:[Food and beverages]])</f>
        <v>2226.8000000000002</v>
      </c>
    </row>
    <row r="336" spans="1:31" x14ac:dyDescent="0.3">
      <c r="A336" s="5" t="s">
        <v>33</v>
      </c>
      <c r="B336" s="5">
        <v>2022</v>
      </c>
      <c r="C336" s="5" t="s">
        <v>38</v>
      </c>
      <c r="D336" s="5">
        <v>156.69999999999999</v>
      </c>
      <c r="E336" s="5">
        <v>221.2</v>
      </c>
      <c r="F336" s="5">
        <v>164.1</v>
      </c>
      <c r="G336" s="5">
        <v>165.4</v>
      </c>
      <c r="H336" s="5">
        <v>189.5</v>
      </c>
      <c r="I336" s="5">
        <v>174.5</v>
      </c>
      <c r="J336" s="5">
        <v>203.2</v>
      </c>
      <c r="K336" s="5">
        <v>164.1</v>
      </c>
      <c r="L336" s="5">
        <v>121.2</v>
      </c>
      <c r="M336" s="5">
        <v>181.4</v>
      </c>
      <c r="N336" s="5">
        <v>158.5</v>
      </c>
      <c r="O336" s="5">
        <v>184.9</v>
      </c>
      <c r="P336" s="5">
        <v>177.5</v>
      </c>
      <c r="Q336" s="5">
        <v>197.5</v>
      </c>
      <c r="R336" s="5">
        <v>170</v>
      </c>
      <c r="S336" s="5">
        <v>155.9</v>
      </c>
      <c r="T336" s="5">
        <v>167.8</v>
      </c>
      <c r="U336" s="5">
        <v>167.5</v>
      </c>
      <c r="V336" s="5">
        <v>173.5</v>
      </c>
      <c r="W336" s="5">
        <v>161.1</v>
      </c>
      <c r="X336" s="5">
        <v>170.1</v>
      </c>
      <c r="Y336" s="5">
        <v>159.4</v>
      </c>
      <c r="Z336" s="5">
        <v>163.19999999999999</v>
      </c>
      <c r="AA336" s="5">
        <v>165.2</v>
      </c>
      <c r="AB336" s="5">
        <v>168.2</v>
      </c>
      <c r="AC336" s="5">
        <v>163.80000000000001</v>
      </c>
      <c r="AD336" s="5">
        <v>170.8</v>
      </c>
      <c r="AE336">
        <f>SUM(Table1[[#This Row],[Cereals and products]:[Food and beverages]])</f>
        <v>2262.2000000000003</v>
      </c>
    </row>
    <row r="337" spans="1:31" x14ac:dyDescent="0.3">
      <c r="A337" s="6" t="s">
        <v>34</v>
      </c>
      <c r="B337" s="6">
        <v>2022</v>
      </c>
      <c r="C337" s="6" t="s">
        <v>38</v>
      </c>
      <c r="D337" s="6">
        <v>154.1</v>
      </c>
      <c r="E337" s="6">
        <v>217</v>
      </c>
      <c r="F337" s="6">
        <v>162.4</v>
      </c>
      <c r="G337" s="6">
        <v>164.9</v>
      </c>
      <c r="H337" s="6">
        <v>202.4</v>
      </c>
      <c r="I337" s="6">
        <v>171</v>
      </c>
      <c r="J337" s="6">
        <v>174.9</v>
      </c>
      <c r="K337" s="6">
        <v>164.7</v>
      </c>
      <c r="L337" s="6">
        <v>119.7</v>
      </c>
      <c r="M337" s="6">
        <v>184.9</v>
      </c>
      <c r="N337" s="6">
        <v>167.1</v>
      </c>
      <c r="O337" s="6">
        <v>182.5</v>
      </c>
      <c r="P337" s="6">
        <v>173.3</v>
      </c>
      <c r="Q337" s="6">
        <v>194.1</v>
      </c>
      <c r="R337" s="6">
        <v>175.6</v>
      </c>
      <c r="S337" s="6">
        <v>168.4</v>
      </c>
      <c r="T337" s="6">
        <v>174.6</v>
      </c>
      <c r="U337" s="6">
        <v>167.5</v>
      </c>
      <c r="V337" s="6">
        <v>174.6</v>
      </c>
      <c r="W337" s="6">
        <v>165.2</v>
      </c>
      <c r="X337" s="6">
        <v>174.8</v>
      </c>
      <c r="Y337" s="6">
        <v>163</v>
      </c>
      <c r="Z337" s="6">
        <v>165.1</v>
      </c>
      <c r="AA337" s="6">
        <v>167.9</v>
      </c>
      <c r="AB337" s="6">
        <v>168.4</v>
      </c>
      <c r="AC337" s="6">
        <v>167.5</v>
      </c>
      <c r="AD337" s="6">
        <v>171.7</v>
      </c>
      <c r="AE337">
        <f>SUM(Table1[[#This Row],[Cereals and products]:[Food and beverages]])</f>
        <v>2238.9000000000005</v>
      </c>
    </row>
    <row r="338" spans="1:31" x14ac:dyDescent="0.3">
      <c r="A338" s="5" t="s">
        <v>30</v>
      </c>
      <c r="B338" s="5">
        <v>2022</v>
      </c>
      <c r="C338" s="5" t="s">
        <v>39</v>
      </c>
      <c r="D338" s="5">
        <v>153.80000000000001</v>
      </c>
      <c r="E338" s="5">
        <v>217.2</v>
      </c>
      <c r="F338" s="5">
        <v>169.6</v>
      </c>
      <c r="G338" s="5">
        <v>165.4</v>
      </c>
      <c r="H338" s="5">
        <v>208.1</v>
      </c>
      <c r="I338" s="5">
        <v>165.8</v>
      </c>
      <c r="J338" s="5">
        <v>167.3</v>
      </c>
      <c r="K338" s="5">
        <v>164.6</v>
      </c>
      <c r="L338" s="5">
        <v>119.1</v>
      </c>
      <c r="M338" s="5">
        <v>188.9</v>
      </c>
      <c r="N338" s="5">
        <v>174.2</v>
      </c>
      <c r="O338" s="5">
        <v>181.9</v>
      </c>
      <c r="P338" s="5">
        <v>172.4</v>
      </c>
      <c r="Q338" s="5">
        <v>192.9</v>
      </c>
      <c r="R338" s="5">
        <v>180.7</v>
      </c>
      <c r="S338" s="5">
        <v>178.7</v>
      </c>
      <c r="T338" s="5">
        <v>180.4</v>
      </c>
      <c r="U338" s="5" t="s">
        <v>32</v>
      </c>
      <c r="V338" s="5">
        <v>176.7</v>
      </c>
      <c r="W338" s="5">
        <v>170.3</v>
      </c>
      <c r="X338" s="5">
        <v>178.2</v>
      </c>
      <c r="Y338" s="5">
        <v>165.5</v>
      </c>
      <c r="Z338" s="5">
        <v>168</v>
      </c>
      <c r="AA338" s="5">
        <v>172.6</v>
      </c>
      <c r="AB338" s="5">
        <v>169.5</v>
      </c>
      <c r="AC338" s="5">
        <v>171</v>
      </c>
      <c r="AD338" s="5">
        <v>173.6</v>
      </c>
      <c r="AE338">
        <f>SUM(Table1[[#This Row],[Cereals and products]:[Food and beverages]])</f>
        <v>2248.3000000000002</v>
      </c>
    </row>
    <row r="339" spans="1:31" x14ac:dyDescent="0.3">
      <c r="A339" s="6" t="s">
        <v>33</v>
      </c>
      <c r="B339" s="6">
        <v>2022</v>
      </c>
      <c r="C339" s="6" t="s">
        <v>39</v>
      </c>
      <c r="D339" s="6">
        <v>157.5</v>
      </c>
      <c r="E339" s="6">
        <v>223.4</v>
      </c>
      <c r="F339" s="6">
        <v>172.8</v>
      </c>
      <c r="G339" s="6">
        <v>166.4</v>
      </c>
      <c r="H339" s="6">
        <v>188.6</v>
      </c>
      <c r="I339" s="6">
        <v>174.1</v>
      </c>
      <c r="J339" s="6">
        <v>211.5</v>
      </c>
      <c r="K339" s="6">
        <v>163.6</v>
      </c>
      <c r="L339" s="6">
        <v>121.4</v>
      </c>
      <c r="M339" s="6">
        <v>183.5</v>
      </c>
      <c r="N339" s="6">
        <v>159.1</v>
      </c>
      <c r="O339" s="6">
        <v>186.3</v>
      </c>
      <c r="P339" s="6">
        <v>179.3</v>
      </c>
      <c r="Q339" s="6">
        <v>198.3</v>
      </c>
      <c r="R339" s="6">
        <v>171.6</v>
      </c>
      <c r="S339" s="6">
        <v>157.4</v>
      </c>
      <c r="T339" s="6">
        <v>169.4</v>
      </c>
      <c r="U339" s="6">
        <v>166.8</v>
      </c>
      <c r="V339" s="6">
        <v>174.9</v>
      </c>
      <c r="W339" s="6">
        <v>162.1</v>
      </c>
      <c r="X339" s="6">
        <v>170.9</v>
      </c>
      <c r="Y339" s="6">
        <v>157.19999999999999</v>
      </c>
      <c r="Z339" s="6">
        <v>164.1</v>
      </c>
      <c r="AA339" s="6">
        <v>166.5</v>
      </c>
      <c r="AB339" s="6">
        <v>169.2</v>
      </c>
      <c r="AC339" s="6">
        <v>163.80000000000001</v>
      </c>
      <c r="AD339" s="6">
        <v>171.4</v>
      </c>
      <c r="AE339">
        <f>SUM(Table1[[#This Row],[Cereals and products]:[Food and beverages]])</f>
        <v>2287.5</v>
      </c>
    </row>
    <row r="340" spans="1:31" x14ac:dyDescent="0.3">
      <c r="A340" s="5" t="s">
        <v>34</v>
      </c>
      <c r="B340" s="5">
        <v>2022</v>
      </c>
      <c r="C340" s="5" t="s">
        <v>39</v>
      </c>
      <c r="D340" s="5">
        <v>155</v>
      </c>
      <c r="E340" s="5">
        <v>219.4</v>
      </c>
      <c r="F340" s="5">
        <v>170.8</v>
      </c>
      <c r="G340" s="5">
        <v>165.8</v>
      </c>
      <c r="H340" s="5">
        <v>200.9</v>
      </c>
      <c r="I340" s="5">
        <v>169.7</v>
      </c>
      <c r="J340" s="5">
        <v>182.3</v>
      </c>
      <c r="K340" s="5">
        <v>164.3</v>
      </c>
      <c r="L340" s="5">
        <v>119.9</v>
      </c>
      <c r="M340" s="5">
        <v>187.1</v>
      </c>
      <c r="N340" s="5">
        <v>167.9</v>
      </c>
      <c r="O340" s="5">
        <v>183.9</v>
      </c>
      <c r="P340" s="5">
        <v>174.9</v>
      </c>
      <c r="Q340" s="5">
        <v>194.3</v>
      </c>
      <c r="R340" s="5">
        <v>177.1</v>
      </c>
      <c r="S340" s="5">
        <v>169.9</v>
      </c>
      <c r="T340" s="5">
        <v>176</v>
      </c>
      <c r="U340" s="5">
        <v>166.8</v>
      </c>
      <c r="V340" s="5">
        <v>176</v>
      </c>
      <c r="W340" s="5">
        <v>166.4</v>
      </c>
      <c r="X340" s="5">
        <v>175.4</v>
      </c>
      <c r="Y340" s="5">
        <v>161.1</v>
      </c>
      <c r="Z340" s="5">
        <v>165.8</v>
      </c>
      <c r="AA340" s="5">
        <v>169</v>
      </c>
      <c r="AB340" s="5">
        <v>169.4</v>
      </c>
      <c r="AC340" s="5">
        <v>167.5</v>
      </c>
      <c r="AD340" s="5">
        <v>172.6</v>
      </c>
      <c r="AE340">
        <f>SUM(Table1[[#This Row],[Cereals and products]:[Food and beverages]])</f>
        <v>2261.9</v>
      </c>
    </row>
    <row r="341" spans="1:31" x14ac:dyDescent="0.3">
      <c r="A341" s="6" t="s">
        <v>30</v>
      </c>
      <c r="B341" s="6">
        <v>2022</v>
      </c>
      <c r="C341" s="6" t="s">
        <v>40</v>
      </c>
      <c r="D341" s="6">
        <v>155.19999999999999</v>
      </c>
      <c r="E341" s="6">
        <v>210.8</v>
      </c>
      <c r="F341" s="6">
        <v>174.3</v>
      </c>
      <c r="G341" s="6">
        <v>166.3</v>
      </c>
      <c r="H341" s="6">
        <v>202.2</v>
      </c>
      <c r="I341" s="6">
        <v>169.6</v>
      </c>
      <c r="J341" s="6">
        <v>168.6</v>
      </c>
      <c r="K341" s="6">
        <v>164.4</v>
      </c>
      <c r="L341" s="6">
        <v>119.2</v>
      </c>
      <c r="M341" s="6">
        <v>191.8</v>
      </c>
      <c r="N341" s="6">
        <v>174.5</v>
      </c>
      <c r="O341" s="6">
        <v>183.1</v>
      </c>
      <c r="P341" s="6">
        <v>172.5</v>
      </c>
      <c r="Q341" s="6">
        <v>193.2</v>
      </c>
      <c r="R341" s="6">
        <v>182</v>
      </c>
      <c r="S341" s="6">
        <v>180.3</v>
      </c>
      <c r="T341" s="6">
        <v>181.7</v>
      </c>
      <c r="U341" s="6" t="s">
        <v>32</v>
      </c>
      <c r="V341" s="6">
        <v>179.6</v>
      </c>
      <c r="W341" s="6">
        <v>171.3</v>
      </c>
      <c r="X341" s="6">
        <v>178.8</v>
      </c>
      <c r="Y341" s="6">
        <v>166.3</v>
      </c>
      <c r="Z341" s="6">
        <v>168.6</v>
      </c>
      <c r="AA341" s="6">
        <v>174.7</v>
      </c>
      <c r="AB341" s="6">
        <v>169.7</v>
      </c>
      <c r="AC341" s="6">
        <v>171.8</v>
      </c>
      <c r="AD341" s="6">
        <v>174.3</v>
      </c>
      <c r="AE341">
        <f>SUM(Table1[[#This Row],[Cereals and products]:[Food and beverages]])</f>
        <v>2252.5</v>
      </c>
    </row>
    <row r="342" spans="1:31" x14ac:dyDescent="0.3">
      <c r="A342" s="5" t="s">
        <v>33</v>
      </c>
      <c r="B342" s="5">
        <v>2022</v>
      </c>
      <c r="C342" s="5" t="s">
        <v>40</v>
      </c>
      <c r="D342" s="5">
        <v>159.30000000000001</v>
      </c>
      <c r="E342" s="5">
        <v>217.1</v>
      </c>
      <c r="F342" s="5">
        <v>176.6</v>
      </c>
      <c r="G342" s="5">
        <v>167.1</v>
      </c>
      <c r="H342" s="5">
        <v>184.8</v>
      </c>
      <c r="I342" s="5">
        <v>179.5</v>
      </c>
      <c r="J342" s="5">
        <v>208.5</v>
      </c>
      <c r="K342" s="5">
        <v>164</v>
      </c>
      <c r="L342" s="5">
        <v>121.5</v>
      </c>
      <c r="M342" s="5">
        <v>186.3</v>
      </c>
      <c r="N342" s="5">
        <v>159.80000000000001</v>
      </c>
      <c r="O342" s="5">
        <v>187.7</v>
      </c>
      <c r="P342" s="5">
        <v>179.4</v>
      </c>
      <c r="Q342" s="5">
        <v>198.6</v>
      </c>
      <c r="R342" s="5">
        <v>172.7</v>
      </c>
      <c r="S342" s="5">
        <v>158.69999999999999</v>
      </c>
      <c r="T342" s="5">
        <v>170.6</v>
      </c>
      <c r="U342" s="5">
        <v>167.8</v>
      </c>
      <c r="V342" s="5">
        <v>179.5</v>
      </c>
      <c r="W342" s="5">
        <v>163.1</v>
      </c>
      <c r="X342" s="5">
        <v>171.7</v>
      </c>
      <c r="Y342" s="5">
        <v>157.4</v>
      </c>
      <c r="Z342" s="5">
        <v>164.6</v>
      </c>
      <c r="AA342" s="5">
        <v>169.1</v>
      </c>
      <c r="AB342" s="5">
        <v>169.8</v>
      </c>
      <c r="AC342" s="5">
        <v>164.7</v>
      </c>
      <c r="AD342" s="5">
        <v>172.3</v>
      </c>
      <c r="AE342">
        <f>SUM(Table1[[#This Row],[Cereals and products]:[Food and beverages]])</f>
        <v>2291.6</v>
      </c>
    </row>
    <row r="343" spans="1:31" x14ac:dyDescent="0.3">
      <c r="A343" s="6" t="s">
        <v>34</v>
      </c>
      <c r="B343" s="6">
        <v>2022</v>
      </c>
      <c r="C343" s="6" t="s">
        <v>40</v>
      </c>
      <c r="D343" s="6">
        <v>156.5</v>
      </c>
      <c r="E343" s="6">
        <v>213</v>
      </c>
      <c r="F343" s="6">
        <v>175.2</v>
      </c>
      <c r="G343" s="6">
        <v>166.6</v>
      </c>
      <c r="H343" s="6">
        <v>195.8</v>
      </c>
      <c r="I343" s="6">
        <v>174.2</v>
      </c>
      <c r="J343" s="6">
        <v>182.1</v>
      </c>
      <c r="K343" s="6">
        <v>164.3</v>
      </c>
      <c r="L343" s="6">
        <v>120</v>
      </c>
      <c r="M343" s="6">
        <v>190</v>
      </c>
      <c r="N343" s="6">
        <v>168.4</v>
      </c>
      <c r="O343" s="6">
        <v>185.2</v>
      </c>
      <c r="P343" s="6">
        <v>175</v>
      </c>
      <c r="Q343" s="6">
        <v>194.6</v>
      </c>
      <c r="R343" s="6">
        <v>178.3</v>
      </c>
      <c r="S343" s="6">
        <v>171.3</v>
      </c>
      <c r="T343" s="6">
        <v>177.3</v>
      </c>
      <c r="U343" s="6">
        <v>167.8</v>
      </c>
      <c r="V343" s="6">
        <v>179.6</v>
      </c>
      <c r="W343" s="6">
        <v>167.4</v>
      </c>
      <c r="X343" s="6">
        <v>176.1</v>
      </c>
      <c r="Y343" s="6">
        <v>161.6</v>
      </c>
      <c r="Z343" s="6">
        <v>166.3</v>
      </c>
      <c r="AA343" s="6">
        <v>171.4</v>
      </c>
      <c r="AB343" s="6">
        <v>169.7</v>
      </c>
      <c r="AC343" s="6">
        <v>168.4</v>
      </c>
      <c r="AD343" s="6">
        <v>173.4</v>
      </c>
      <c r="AE343">
        <f>SUM(Table1[[#This Row],[Cereals and products]:[Food and beverages]])</f>
        <v>2266.3000000000002</v>
      </c>
    </row>
    <row r="344" spans="1:31" x14ac:dyDescent="0.3">
      <c r="A344" s="5" t="s">
        <v>30</v>
      </c>
      <c r="B344" s="5">
        <v>2022</v>
      </c>
      <c r="C344" s="5" t="s">
        <v>41</v>
      </c>
      <c r="D344" s="5">
        <v>159.5</v>
      </c>
      <c r="E344" s="5">
        <v>204.1</v>
      </c>
      <c r="F344" s="5">
        <v>168.3</v>
      </c>
      <c r="G344" s="5">
        <v>167.9</v>
      </c>
      <c r="H344" s="5">
        <v>198.1</v>
      </c>
      <c r="I344" s="5">
        <v>169.2</v>
      </c>
      <c r="J344" s="5">
        <v>173.1</v>
      </c>
      <c r="K344" s="5">
        <v>167.1</v>
      </c>
      <c r="L344" s="5">
        <v>120.2</v>
      </c>
      <c r="M344" s="5">
        <v>195.6</v>
      </c>
      <c r="N344" s="5">
        <v>174.8</v>
      </c>
      <c r="O344" s="5">
        <v>184</v>
      </c>
      <c r="P344" s="5">
        <v>173.9</v>
      </c>
      <c r="Q344" s="5">
        <v>193.7</v>
      </c>
      <c r="R344" s="5">
        <v>183.2</v>
      </c>
      <c r="S344" s="5">
        <v>181.7</v>
      </c>
      <c r="T344" s="5">
        <v>183</v>
      </c>
      <c r="U344" s="5" t="s">
        <v>32</v>
      </c>
      <c r="V344" s="5">
        <v>179.1</v>
      </c>
      <c r="W344" s="5">
        <v>172.3</v>
      </c>
      <c r="X344" s="5">
        <v>179.4</v>
      </c>
      <c r="Y344" s="5">
        <v>166.6</v>
      </c>
      <c r="Z344" s="5">
        <v>169.3</v>
      </c>
      <c r="AA344" s="5">
        <v>175.7</v>
      </c>
      <c r="AB344" s="5">
        <v>171.1</v>
      </c>
      <c r="AC344" s="5">
        <v>172.6</v>
      </c>
      <c r="AD344" s="5">
        <v>175.3</v>
      </c>
      <c r="AE344">
        <f>SUM(Table1[[#This Row],[Cereals and products]:[Food and beverages]])</f>
        <v>2255.7999999999997</v>
      </c>
    </row>
    <row r="345" spans="1:31" x14ac:dyDescent="0.3">
      <c r="A345" s="6" t="s">
        <v>33</v>
      </c>
      <c r="B345" s="6">
        <v>2022</v>
      </c>
      <c r="C345" s="6" t="s">
        <v>41</v>
      </c>
      <c r="D345" s="6">
        <v>162.1</v>
      </c>
      <c r="E345" s="6">
        <v>210.9</v>
      </c>
      <c r="F345" s="6">
        <v>170.6</v>
      </c>
      <c r="G345" s="6">
        <v>168.4</v>
      </c>
      <c r="H345" s="6">
        <v>182.5</v>
      </c>
      <c r="I345" s="6">
        <v>177.1</v>
      </c>
      <c r="J345" s="6">
        <v>213.1</v>
      </c>
      <c r="K345" s="6">
        <v>167.3</v>
      </c>
      <c r="L345" s="6">
        <v>122.2</v>
      </c>
      <c r="M345" s="6">
        <v>189.7</v>
      </c>
      <c r="N345" s="6">
        <v>160.5</v>
      </c>
      <c r="O345" s="6">
        <v>188.9</v>
      </c>
      <c r="P345" s="6">
        <v>180.4</v>
      </c>
      <c r="Q345" s="6">
        <v>198.7</v>
      </c>
      <c r="R345" s="6">
        <v>173.7</v>
      </c>
      <c r="S345" s="6">
        <v>160</v>
      </c>
      <c r="T345" s="6">
        <v>171.6</v>
      </c>
      <c r="U345" s="6">
        <v>169</v>
      </c>
      <c r="V345" s="6">
        <v>178.4</v>
      </c>
      <c r="W345" s="6">
        <v>164.2</v>
      </c>
      <c r="X345" s="6">
        <v>172.6</v>
      </c>
      <c r="Y345" s="6">
        <v>157.69999999999999</v>
      </c>
      <c r="Z345" s="6">
        <v>165.1</v>
      </c>
      <c r="AA345" s="6">
        <v>169.9</v>
      </c>
      <c r="AB345" s="6">
        <v>171.4</v>
      </c>
      <c r="AC345" s="6">
        <v>165.4</v>
      </c>
      <c r="AD345" s="6">
        <v>173.1</v>
      </c>
      <c r="AE345">
        <f>SUM(Table1[[#This Row],[Cereals and products]:[Food and beverages]])</f>
        <v>2293.6999999999998</v>
      </c>
    </row>
    <row r="346" spans="1:31" x14ac:dyDescent="0.3">
      <c r="A346" s="5" t="s">
        <v>34</v>
      </c>
      <c r="B346" s="5">
        <v>2022</v>
      </c>
      <c r="C346" s="5" t="s">
        <v>41</v>
      </c>
      <c r="D346" s="5">
        <v>160.30000000000001</v>
      </c>
      <c r="E346" s="5">
        <v>206.5</v>
      </c>
      <c r="F346" s="5">
        <v>169.2</v>
      </c>
      <c r="G346" s="5">
        <v>168.1</v>
      </c>
      <c r="H346" s="5">
        <v>192.4</v>
      </c>
      <c r="I346" s="5">
        <v>172.9</v>
      </c>
      <c r="J346" s="5">
        <v>186.7</v>
      </c>
      <c r="K346" s="5">
        <v>167.2</v>
      </c>
      <c r="L346" s="5">
        <v>120.9</v>
      </c>
      <c r="M346" s="5">
        <v>193.6</v>
      </c>
      <c r="N346" s="5">
        <v>168.8</v>
      </c>
      <c r="O346" s="5">
        <v>186.3</v>
      </c>
      <c r="P346" s="5">
        <v>176.3</v>
      </c>
      <c r="Q346" s="5">
        <v>195</v>
      </c>
      <c r="R346" s="5">
        <v>179.5</v>
      </c>
      <c r="S346" s="5">
        <v>172.7</v>
      </c>
      <c r="T346" s="5">
        <v>178.5</v>
      </c>
      <c r="U346" s="5">
        <v>169</v>
      </c>
      <c r="V346" s="5">
        <v>178.8</v>
      </c>
      <c r="W346" s="5">
        <v>168.5</v>
      </c>
      <c r="X346" s="5">
        <v>176.8</v>
      </c>
      <c r="Y346" s="5">
        <v>161.9</v>
      </c>
      <c r="Z346" s="5">
        <v>166.9</v>
      </c>
      <c r="AA346" s="5">
        <v>172.3</v>
      </c>
      <c r="AB346" s="5">
        <v>171.2</v>
      </c>
      <c r="AC346" s="5">
        <v>169.1</v>
      </c>
      <c r="AD346" s="5">
        <v>174.3</v>
      </c>
      <c r="AE346">
        <f>SUM(Table1[[#This Row],[Cereals and products]:[Food and beverages]])</f>
        <v>2269.2000000000003</v>
      </c>
    </row>
    <row r="347" spans="1:31" x14ac:dyDescent="0.3">
      <c r="A347" s="6" t="s">
        <v>30</v>
      </c>
      <c r="B347" s="6">
        <v>2022</v>
      </c>
      <c r="C347" s="6" t="s">
        <v>42</v>
      </c>
      <c r="D347" s="6">
        <v>162.9</v>
      </c>
      <c r="E347" s="6">
        <v>206.7</v>
      </c>
      <c r="F347" s="6">
        <v>169</v>
      </c>
      <c r="G347" s="6">
        <v>169.5</v>
      </c>
      <c r="H347" s="6">
        <v>194.1</v>
      </c>
      <c r="I347" s="6">
        <v>164.1</v>
      </c>
      <c r="J347" s="6">
        <v>176.9</v>
      </c>
      <c r="K347" s="6">
        <v>169</v>
      </c>
      <c r="L347" s="6">
        <v>120.8</v>
      </c>
      <c r="M347" s="6">
        <v>199.1</v>
      </c>
      <c r="N347" s="6">
        <v>175.4</v>
      </c>
      <c r="O347" s="6">
        <v>184.8</v>
      </c>
      <c r="P347" s="6">
        <v>175.5</v>
      </c>
      <c r="Q347" s="6">
        <v>194.5</v>
      </c>
      <c r="R347" s="6">
        <v>184.7</v>
      </c>
      <c r="S347" s="6">
        <v>183.3</v>
      </c>
      <c r="T347" s="6">
        <v>184.5</v>
      </c>
      <c r="U347" s="6" t="s">
        <v>32</v>
      </c>
      <c r="V347" s="6">
        <v>179.7</v>
      </c>
      <c r="W347" s="6">
        <v>173.6</v>
      </c>
      <c r="X347" s="6">
        <v>180.2</v>
      </c>
      <c r="Y347" s="6">
        <v>166.9</v>
      </c>
      <c r="Z347" s="6">
        <v>170</v>
      </c>
      <c r="AA347" s="6">
        <v>176.2</v>
      </c>
      <c r="AB347" s="6">
        <v>170.8</v>
      </c>
      <c r="AC347" s="6">
        <v>173.1</v>
      </c>
      <c r="AD347" s="6">
        <v>176.4</v>
      </c>
      <c r="AE347">
        <f>SUM(Table1[[#This Row],[Cereals and products]:[Food and beverages]])</f>
        <v>2267.8000000000002</v>
      </c>
    </row>
    <row r="348" spans="1:31" x14ac:dyDescent="0.3">
      <c r="A348" s="5" t="s">
        <v>33</v>
      </c>
      <c r="B348" s="5">
        <v>2022</v>
      </c>
      <c r="C348" s="5" t="s">
        <v>42</v>
      </c>
      <c r="D348" s="5">
        <v>164.9</v>
      </c>
      <c r="E348" s="5">
        <v>213.7</v>
      </c>
      <c r="F348" s="5">
        <v>170.9</v>
      </c>
      <c r="G348" s="5">
        <v>170.1</v>
      </c>
      <c r="H348" s="5">
        <v>179.3</v>
      </c>
      <c r="I348" s="5">
        <v>167.5</v>
      </c>
      <c r="J348" s="5">
        <v>220.8</v>
      </c>
      <c r="K348" s="5">
        <v>169.2</v>
      </c>
      <c r="L348" s="5">
        <v>123.1</v>
      </c>
      <c r="M348" s="5">
        <v>193.6</v>
      </c>
      <c r="N348" s="5">
        <v>161.1</v>
      </c>
      <c r="O348" s="5">
        <v>190.4</v>
      </c>
      <c r="P348" s="5">
        <v>181.8</v>
      </c>
      <c r="Q348" s="5">
        <v>199.7</v>
      </c>
      <c r="R348" s="5">
        <v>175</v>
      </c>
      <c r="S348" s="5">
        <v>161.69999999999999</v>
      </c>
      <c r="T348" s="5">
        <v>173</v>
      </c>
      <c r="U348" s="5">
        <v>169.5</v>
      </c>
      <c r="V348" s="5">
        <v>179.2</v>
      </c>
      <c r="W348" s="5">
        <v>165</v>
      </c>
      <c r="X348" s="5">
        <v>173.8</v>
      </c>
      <c r="Y348" s="5">
        <v>158.19999999999999</v>
      </c>
      <c r="Z348" s="5">
        <v>165.8</v>
      </c>
      <c r="AA348" s="5">
        <v>170.9</v>
      </c>
      <c r="AB348" s="5">
        <v>171.1</v>
      </c>
      <c r="AC348" s="5">
        <v>166.1</v>
      </c>
      <c r="AD348" s="5">
        <v>174.1</v>
      </c>
      <c r="AE348">
        <f>SUM(Table1[[#This Row],[Cereals and products]:[Food and beverages]])</f>
        <v>2306.4</v>
      </c>
    </row>
    <row r="349" spans="1:31" x14ac:dyDescent="0.3">
      <c r="A349" s="6" t="s">
        <v>34</v>
      </c>
      <c r="B349" s="6">
        <v>2022</v>
      </c>
      <c r="C349" s="6" t="s">
        <v>42</v>
      </c>
      <c r="D349" s="6">
        <v>163.5</v>
      </c>
      <c r="E349" s="6">
        <v>209.2</v>
      </c>
      <c r="F349" s="6">
        <v>169.7</v>
      </c>
      <c r="G349" s="6">
        <v>169.7</v>
      </c>
      <c r="H349" s="6">
        <v>188.7</v>
      </c>
      <c r="I349" s="6">
        <v>165.7</v>
      </c>
      <c r="J349" s="6">
        <v>191.8</v>
      </c>
      <c r="K349" s="6">
        <v>169.1</v>
      </c>
      <c r="L349" s="6">
        <v>121.6</v>
      </c>
      <c r="M349" s="6">
        <v>197.3</v>
      </c>
      <c r="N349" s="6">
        <v>169.4</v>
      </c>
      <c r="O349" s="6">
        <v>187.4</v>
      </c>
      <c r="P349" s="6">
        <v>177.8</v>
      </c>
      <c r="Q349" s="6">
        <v>195.9</v>
      </c>
      <c r="R349" s="6">
        <v>180.9</v>
      </c>
      <c r="S349" s="6">
        <v>174.3</v>
      </c>
      <c r="T349" s="6">
        <v>179.9</v>
      </c>
      <c r="U349" s="6">
        <v>169.5</v>
      </c>
      <c r="V349" s="6">
        <v>179.5</v>
      </c>
      <c r="W349" s="6">
        <v>169.5</v>
      </c>
      <c r="X349" s="6">
        <v>177.8</v>
      </c>
      <c r="Y349" s="6">
        <v>162.30000000000001</v>
      </c>
      <c r="Z349" s="6">
        <v>167.6</v>
      </c>
      <c r="AA349" s="6">
        <v>173.1</v>
      </c>
      <c r="AB349" s="6">
        <v>170.9</v>
      </c>
      <c r="AC349" s="6">
        <v>169.7</v>
      </c>
      <c r="AD349" s="6">
        <v>175.3</v>
      </c>
      <c r="AE349">
        <f>SUM(Table1[[#This Row],[Cereals and products]:[Food and beverages]])</f>
        <v>2280.9</v>
      </c>
    </row>
    <row r="350" spans="1:31" x14ac:dyDescent="0.3">
      <c r="A350" s="5" t="s">
        <v>30</v>
      </c>
      <c r="B350" s="5">
        <v>2022</v>
      </c>
      <c r="C350" s="5" t="s">
        <v>43</v>
      </c>
      <c r="D350" s="5">
        <v>164.7</v>
      </c>
      <c r="E350" s="5">
        <v>208.8</v>
      </c>
      <c r="F350" s="5">
        <v>170.3</v>
      </c>
      <c r="G350" s="5">
        <v>170.9</v>
      </c>
      <c r="H350" s="5">
        <v>191.6</v>
      </c>
      <c r="I350" s="5">
        <v>162.19999999999999</v>
      </c>
      <c r="J350" s="5">
        <v>184.8</v>
      </c>
      <c r="K350" s="5">
        <v>169.7</v>
      </c>
      <c r="L350" s="5">
        <v>121.1</v>
      </c>
      <c r="M350" s="5">
        <v>201.6</v>
      </c>
      <c r="N350" s="5">
        <v>175.8</v>
      </c>
      <c r="O350" s="5">
        <v>185.6</v>
      </c>
      <c r="P350" s="5">
        <v>177.4</v>
      </c>
      <c r="Q350" s="5">
        <v>194.9</v>
      </c>
      <c r="R350" s="5">
        <v>186.1</v>
      </c>
      <c r="S350" s="5">
        <v>184.4</v>
      </c>
      <c r="T350" s="5">
        <v>185.9</v>
      </c>
      <c r="U350" s="5" t="s">
        <v>32</v>
      </c>
      <c r="V350" s="5">
        <v>180.8</v>
      </c>
      <c r="W350" s="5">
        <v>174.4</v>
      </c>
      <c r="X350" s="5">
        <v>181.2</v>
      </c>
      <c r="Y350" s="5">
        <v>167.4</v>
      </c>
      <c r="Z350" s="5">
        <v>170.6</v>
      </c>
      <c r="AA350" s="5">
        <v>176.5</v>
      </c>
      <c r="AB350" s="5">
        <v>172</v>
      </c>
      <c r="AC350" s="5">
        <v>173.9</v>
      </c>
      <c r="AD350" s="5">
        <v>177.9</v>
      </c>
      <c r="AE350">
        <f>SUM(Table1[[#This Row],[Cereals and products]:[Food and beverages]])</f>
        <v>2284.5</v>
      </c>
    </row>
    <row r="351" spans="1:31" x14ac:dyDescent="0.3">
      <c r="A351" s="6" t="s">
        <v>33</v>
      </c>
      <c r="B351" s="6">
        <v>2022</v>
      </c>
      <c r="C351" s="6" t="s">
        <v>43</v>
      </c>
      <c r="D351" s="6">
        <v>166.4</v>
      </c>
      <c r="E351" s="6">
        <v>214.9</v>
      </c>
      <c r="F351" s="6">
        <v>171.9</v>
      </c>
      <c r="G351" s="6">
        <v>171</v>
      </c>
      <c r="H351" s="6">
        <v>177.7</v>
      </c>
      <c r="I351" s="6">
        <v>165.7</v>
      </c>
      <c r="J351" s="6">
        <v>228.6</v>
      </c>
      <c r="K351" s="6">
        <v>169.9</v>
      </c>
      <c r="L351" s="6">
        <v>123.4</v>
      </c>
      <c r="M351" s="6">
        <v>196.4</v>
      </c>
      <c r="N351" s="6">
        <v>161.6</v>
      </c>
      <c r="O351" s="6">
        <v>191.5</v>
      </c>
      <c r="P351" s="6">
        <v>183.3</v>
      </c>
      <c r="Q351" s="6">
        <v>200.1</v>
      </c>
      <c r="R351" s="6">
        <v>175.5</v>
      </c>
      <c r="S351" s="6">
        <v>162.6</v>
      </c>
      <c r="T351" s="6">
        <v>173.6</v>
      </c>
      <c r="U351" s="6">
        <v>171.2</v>
      </c>
      <c r="V351" s="6">
        <v>180</v>
      </c>
      <c r="W351" s="6">
        <v>166</v>
      </c>
      <c r="X351" s="6">
        <v>174.7</v>
      </c>
      <c r="Y351" s="6">
        <v>158.80000000000001</v>
      </c>
      <c r="Z351" s="6">
        <v>166.3</v>
      </c>
      <c r="AA351" s="6">
        <v>171.2</v>
      </c>
      <c r="AB351" s="6">
        <v>172.3</v>
      </c>
      <c r="AC351" s="6">
        <v>166.8</v>
      </c>
      <c r="AD351" s="6">
        <v>175.3</v>
      </c>
      <c r="AE351">
        <f>SUM(Table1[[#This Row],[Cereals and products]:[Food and beverages]])</f>
        <v>2322.3000000000002</v>
      </c>
    </row>
    <row r="352" spans="1:31" x14ac:dyDescent="0.3">
      <c r="A352" s="5" t="s">
        <v>34</v>
      </c>
      <c r="B352" s="5">
        <v>2022</v>
      </c>
      <c r="C352" s="5" t="s">
        <v>43</v>
      </c>
      <c r="D352" s="5">
        <v>165.2</v>
      </c>
      <c r="E352" s="5">
        <v>210.9</v>
      </c>
      <c r="F352" s="5">
        <v>170.9</v>
      </c>
      <c r="G352" s="5">
        <v>170.9</v>
      </c>
      <c r="H352" s="5">
        <v>186.5</v>
      </c>
      <c r="I352" s="5">
        <v>163.80000000000001</v>
      </c>
      <c r="J352" s="5">
        <v>199.7</v>
      </c>
      <c r="K352" s="5">
        <v>169.8</v>
      </c>
      <c r="L352" s="5">
        <v>121.9</v>
      </c>
      <c r="M352" s="5">
        <v>199.9</v>
      </c>
      <c r="N352" s="5">
        <v>169.9</v>
      </c>
      <c r="O352" s="5">
        <v>188.3</v>
      </c>
      <c r="P352" s="5">
        <v>179.6</v>
      </c>
      <c r="Q352" s="5">
        <v>196.3</v>
      </c>
      <c r="R352" s="5">
        <v>181.9</v>
      </c>
      <c r="S352" s="5">
        <v>175.3</v>
      </c>
      <c r="T352" s="5">
        <v>181</v>
      </c>
      <c r="U352" s="5">
        <v>171.2</v>
      </c>
      <c r="V352" s="5">
        <v>180.5</v>
      </c>
      <c r="W352" s="5">
        <v>170.4</v>
      </c>
      <c r="X352" s="5">
        <v>178.7</v>
      </c>
      <c r="Y352" s="5">
        <v>162.9</v>
      </c>
      <c r="Z352" s="5">
        <v>168.2</v>
      </c>
      <c r="AA352" s="5">
        <v>173.4</v>
      </c>
      <c r="AB352" s="5">
        <v>172.1</v>
      </c>
      <c r="AC352" s="5">
        <v>170.5</v>
      </c>
      <c r="AD352" s="5">
        <v>176.7</v>
      </c>
      <c r="AE352">
        <f>SUM(Table1[[#This Row],[Cereals and products]:[Food and beverages]])</f>
        <v>2297.3000000000002</v>
      </c>
    </row>
    <row r="353" spans="1:31" x14ac:dyDescent="0.3">
      <c r="A353" s="6" t="s">
        <v>30</v>
      </c>
      <c r="B353" s="6">
        <v>2022</v>
      </c>
      <c r="C353" s="6" t="s">
        <v>45</v>
      </c>
      <c r="D353" s="6">
        <v>166.9</v>
      </c>
      <c r="E353" s="6">
        <v>207.2</v>
      </c>
      <c r="F353" s="6">
        <v>180.2</v>
      </c>
      <c r="G353" s="6">
        <v>172.3</v>
      </c>
      <c r="H353" s="6">
        <v>194</v>
      </c>
      <c r="I353" s="6">
        <v>159.1</v>
      </c>
      <c r="J353" s="6">
        <v>171.6</v>
      </c>
      <c r="K353" s="6">
        <v>170.2</v>
      </c>
      <c r="L353" s="6">
        <v>121.5</v>
      </c>
      <c r="M353" s="6">
        <v>204.8</v>
      </c>
      <c r="N353" s="6">
        <v>176.4</v>
      </c>
      <c r="O353" s="6">
        <v>186.9</v>
      </c>
      <c r="P353" s="6">
        <v>176.6</v>
      </c>
      <c r="Q353" s="6">
        <v>195.5</v>
      </c>
      <c r="R353" s="6">
        <v>187.2</v>
      </c>
      <c r="S353" s="6">
        <v>185.2</v>
      </c>
      <c r="T353" s="6">
        <v>186.9</v>
      </c>
      <c r="U353" s="6" t="s">
        <v>32</v>
      </c>
      <c r="V353" s="6">
        <v>181.9</v>
      </c>
      <c r="W353" s="6">
        <v>175.5</v>
      </c>
      <c r="X353" s="6">
        <v>182.3</v>
      </c>
      <c r="Y353" s="6">
        <v>167.5</v>
      </c>
      <c r="Z353" s="6">
        <v>170.8</v>
      </c>
      <c r="AA353" s="6">
        <v>176.9</v>
      </c>
      <c r="AB353" s="6">
        <v>173.4</v>
      </c>
      <c r="AC353" s="6">
        <v>174.6</v>
      </c>
      <c r="AD353" s="6">
        <v>177.8</v>
      </c>
      <c r="AE353">
        <f>SUM(Table1[[#This Row],[Cereals and products]:[Food and beverages]])</f>
        <v>2287.6999999999998</v>
      </c>
    </row>
    <row r="354" spans="1:31" x14ac:dyDescent="0.3">
      <c r="A354" s="5" t="s">
        <v>33</v>
      </c>
      <c r="B354" s="5">
        <v>2022</v>
      </c>
      <c r="C354" s="5" t="s">
        <v>45</v>
      </c>
      <c r="D354" s="5">
        <v>168.4</v>
      </c>
      <c r="E354" s="5">
        <v>213.4</v>
      </c>
      <c r="F354" s="5">
        <v>183.2</v>
      </c>
      <c r="G354" s="5">
        <v>172.3</v>
      </c>
      <c r="H354" s="5">
        <v>180</v>
      </c>
      <c r="I354" s="5">
        <v>162.6</v>
      </c>
      <c r="J354" s="5">
        <v>205.5</v>
      </c>
      <c r="K354" s="5">
        <v>171</v>
      </c>
      <c r="L354" s="5">
        <v>123.4</v>
      </c>
      <c r="M354" s="5">
        <v>198.8</v>
      </c>
      <c r="N354" s="5">
        <v>162.1</v>
      </c>
      <c r="O354" s="5">
        <v>192.4</v>
      </c>
      <c r="P354" s="5">
        <v>181.3</v>
      </c>
      <c r="Q354" s="5">
        <v>200.6</v>
      </c>
      <c r="R354" s="5">
        <v>176.7</v>
      </c>
      <c r="S354" s="5">
        <v>163.5</v>
      </c>
      <c r="T354" s="5">
        <v>174.7</v>
      </c>
      <c r="U354" s="5">
        <v>171.8</v>
      </c>
      <c r="V354" s="5">
        <v>180.3</v>
      </c>
      <c r="W354" s="5">
        <v>166.9</v>
      </c>
      <c r="X354" s="5">
        <v>175.8</v>
      </c>
      <c r="Y354" s="5">
        <v>158.9</v>
      </c>
      <c r="Z354" s="5">
        <v>166.7</v>
      </c>
      <c r="AA354" s="5">
        <v>171.5</v>
      </c>
      <c r="AB354" s="5">
        <v>173.8</v>
      </c>
      <c r="AC354" s="5">
        <v>167.4</v>
      </c>
      <c r="AD354" s="5">
        <v>174.1</v>
      </c>
      <c r="AE354">
        <f>SUM(Table1[[#This Row],[Cereals and products]:[Food and beverages]])</f>
        <v>2314.4</v>
      </c>
    </row>
    <row r="355" spans="1:31" x14ac:dyDescent="0.3">
      <c r="A355" s="6" t="s">
        <v>34</v>
      </c>
      <c r="B355" s="6">
        <v>2022</v>
      </c>
      <c r="C355" s="6" t="s">
        <v>45</v>
      </c>
      <c r="D355" s="6">
        <v>167.4</v>
      </c>
      <c r="E355" s="6">
        <v>209.4</v>
      </c>
      <c r="F355" s="6">
        <v>181.4</v>
      </c>
      <c r="G355" s="6">
        <v>172.3</v>
      </c>
      <c r="H355" s="6">
        <v>188.9</v>
      </c>
      <c r="I355" s="6">
        <v>160.69999999999999</v>
      </c>
      <c r="J355" s="6">
        <v>183.1</v>
      </c>
      <c r="K355" s="6">
        <v>170.5</v>
      </c>
      <c r="L355" s="6">
        <v>122.1</v>
      </c>
      <c r="M355" s="6">
        <v>202.8</v>
      </c>
      <c r="N355" s="6">
        <v>170.4</v>
      </c>
      <c r="O355" s="6">
        <v>189.5</v>
      </c>
      <c r="P355" s="6">
        <v>178.3</v>
      </c>
      <c r="Q355" s="6">
        <v>196.9</v>
      </c>
      <c r="R355" s="6">
        <v>183.1</v>
      </c>
      <c r="S355" s="6">
        <v>176.2</v>
      </c>
      <c r="T355" s="6">
        <v>182.1</v>
      </c>
      <c r="U355" s="6">
        <v>171.8</v>
      </c>
      <c r="V355" s="6">
        <v>181.3</v>
      </c>
      <c r="W355" s="6">
        <v>171.4</v>
      </c>
      <c r="X355" s="6">
        <v>179.8</v>
      </c>
      <c r="Y355" s="6">
        <v>163</v>
      </c>
      <c r="Z355" s="6">
        <v>168.5</v>
      </c>
      <c r="AA355" s="6">
        <v>173.7</v>
      </c>
      <c r="AB355" s="6">
        <v>173.6</v>
      </c>
      <c r="AC355" s="6">
        <v>171.1</v>
      </c>
      <c r="AD355" s="6">
        <v>176.5</v>
      </c>
      <c r="AE355">
        <f>SUM(Table1[[#This Row],[Cereals and products]:[Food and beverages]])</f>
        <v>2296.8000000000002</v>
      </c>
    </row>
    <row r="356" spans="1:31" x14ac:dyDescent="0.3">
      <c r="A356" s="5" t="s">
        <v>30</v>
      </c>
      <c r="B356" s="5">
        <v>2022</v>
      </c>
      <c r="C356" s="5" t="s">
        <v>46</v>
      </c>
      <c r="D356" s="5">
        <v>168.8</v>
      </c>
      <c r="E356" s="5">
        <v>206.9</v>
      </c>
      <c r="F356" s="5">
        <v>189.1</v>
      </c>
      <c r="G356" s="5">
        <v>173.4</v>
      </c>
      <c r="H356" s="5">
        <v>193.9</v>
      </c>
      <c r="I356" s="5">
        <v>156.69999999999999</v>
      </c>
      <c r="J356" s="5">
        <v>150.19999999999999</v>
      </c>
      <c r="K356" s="5">
        <v>170.5</v>
      </c>
      <c r="L356" s="5">
        <v>121.2</v>
      </c>
      <c r="M356" s="5">
        <v>207.5</v>
      </c>
      <c r="N356" s="5">
        <v>176.8</v>
      </c>
      <c r="O356" s="5">
        <v>187.7</v>
      </c>
      <c r="P356" s="5">
        <v>174.4</v>
      </c>
      <c r="Q356" s="5">
        <v>195.9</v>
      </c>
      <c r="R356" s="5">
        <v>188.1</v>
      </c>
      <c r="S356" s="5">
        <v>185.9</v>
      </c>
      <c r="T356" s="5">
        <v>187.8</v>
      </c>
      <c r="U356" s="5" t="s">
        <v>32</v>
      </c>
      <c r="V356" s="5">
        <v>182.8</v>
      </c>
      <c r="W356" s="5">
        <v>176.4</v>
      </c>
      <c r="X356" s="5">
        <v>183.5</v>
      </c>
      <c r="Y356" s="5">
        <v>167.8</v>
      </c>
      <c r="Z356" s="5">
        <v>171.2</v>
      </c>
      <c r="AA356" s="5">
        <v>177.3</v>
      </c>
      <c r="AB356" s="5">
        <v>175.7</v>
      </c>
      <c r="AC356" s="5">
        <v>175.5</v>
      </c>
      <c r="AD356" s="5">
        <v>177.1</v>
      </c>
      <c r="AE356">
        <f>SUM(Table1[[#This Row],[Cereals and products]:[Food and beverages]])</f>
        <v>2277.1</v>
      </c>
    </row>
    <row r="357" spans="1:31" x14ac:dyDescent="0.3">
      <c r="A357" s="6" t="s">
        <v>33</v>
      </c>
      <c r="B357" s="6">
        <v>2022</v>
      </c>
      <c r="C357" s="6" t="s">
        <v>46</v>
      </c>
      <c r="D357" s="6">
        <v>170.2</v>
      </c>
      <c r="E357" s="6">
        <v>212.9</v>
      </c>
      <c r="F357" s="6">
        <v>191.9</v>
      </c>
      <c r="G357" s="6">
        <v>173.9</v>
      </c>
      <c r="H357" s="6">
        <v>179.1</v>
      </c>
      <c r="I357" s="6">
        <v>159.5</v>
      </c>
      <c r="J357" s="6">
        <v>178.7</v>
      </c>
      <c r="K357" s="6">
        <v>171.3</v>
      </c>
      <c r="L357" s="6">
        <v>123.1</v>
      </c>
      <c r="M357" s="6">
        <v>200.5</v>
      </c>
      <c r="N357" s="6">
        <v>162.80000000000001</v>
      </c>
      <c r="O357" s="6">
        <v>193.3</v>
      </c>
      <c r="P357" s="6">
        <v>178.6</v>
      </c>
      <c r="Q357" s="6">
        <v>201.1</v>
      </c>
      <c r="R357" s="6">
        <v>177.7</v>
      </c>
      <c r="S357" s="6">
        <v>164.5</v>
      </c>
      <c r="T357" s="6">
        <v>175.7</v>
      </c>
      <c r="U357" s="6">
        <v>170.7</v>
      </c>
      <c r="V357" s="6">
        <v>180.6</v>
      </c>
      <c r="W357" s="6">
        <v>167.3</v>
      </c>
      <c r="X357" s="6">
        <v>177.2</v>
      </c>
      <c r="Y357" s="6">
        <v>159.4</v>
      </c>
      <c r="Z357" s="6">
        <v>167.1</v>
      </c>
      <c r="AA357" s="6">
        <v>171.8</v>
      </c>
      <c r="AB357" s="6">
        <v>176</v>
      </c>
      <c r="AC357" s="6">
        <v>168.2</v>
      </c>
      <c r="AD357" s="6">
        <v>174.1</v>
      </c>
      <c r="AE357">
        <f>SUM(Table1[[#This Row],[Cereals and products]:[Food and beverages]])</f>
        <v>2295.7999999999997</v>
      </c>
    </row>
    <row r="358" spans="1:31" x14ac:dyDescent="0.3">
      <c r="A358" s="5" t="s">
        <v>34</v>
      </c>
      <c r="B358" s="5">
        <v>2022</v>
      </c>
      <c r="C358" s="5" t="s">
        <v>46</v>
      </c>
      <c r="D358" s="5">
        <v>169.2</v>
      </c>
      <c r="E358" s="5">
        <v>209</v>
      </c>
      <c r="F358" s="5">
        <v>190.2</v>
      </c>
      <c r="G358" s="5">
        <v>173.6</v>
      </c>
      <c r="H358" s="5">
        <v>188.5</v>
      </c>
      <c r="I358" s="5">
        <v>158</v>
      </c>
      <c r="J358" s="5">
        <v>159.9</v>
      </c>
      <c r="K358" s="5">
        <v>170.8</v>
      </c>
      <c r="L358" s="5">
        <v>121.8</v>
      </c>
      <c r="M358" s="5">
        <v>205.2</v>
      </c>
      <c r="N358" s="5">
        <v>171</v>
      </c>
      <c r="O358" s="5">
        <v>190.3</v>
      </c>
      <c r="P358" s="5">
        <v>175.9</v>
      </c>
      <c r="Q358" s="5">
        <v>197.3</v>
      </c>
      <c r="R358" s="5">
        <v>184</v>
      </c>
      <c r="S358" s="5">
        <v>177</v>
      </c>
      <c r="T358" s="5">
        <v>183</v>
      </c>
      <c r="U358" s="5">
        <v>170.7</v>
      </c>
      <c r="V358" s="5">
        <v>182</v>
      </c>
      <c r="W358" s="5">
        <v>172.1</v>
      </c>
      <c r="X358" s="5">
        <v>181.1</v>
      </c>
      <c r="Y358" s="5">
        <v>163.4</v>
      </c>
      <c r="Z358" s="5">
        <v>168.9</v>
      </c>
      <c r="AA358" s="5">
        <v>174.1</v>
      </c>
      <c r="AB358" s="5">
        <v>175.8</v>
      </c>
      <c r="AC358" s="5">
        <v>172</v>
      </c>
      <c r="AD358" s="5">
        <v>175.7</v>
      </c>
      <c r="AE358">
        <f>SUM(Table1[[#This Row],[Cereals and products]:[Food and beverages]])</f>
        <v>2283.4</v>
      </c>
    </row>
    <row r="359" spans="1:31" x14ac:dyDescent="0.3">
      <c r="A359" s="6" t="s">
        <v>30</v>
      </c>
      <c r="B359" s="6">
        <v>2023</v>
      </c>
      <c r="C359" s="6" t="s">
        <v>31</v>
      </c>
      <c r="D359" s="6">
        <v>174</v>
      </c>
      <c r="E359" s="6">
        <v>208.3</v>
      </c>
      <c r="F359" s="6">
        <v>192.9</v>
      </c>
      <c r="G359" s="6">
        <v>174.3</v>
      </c>
      <c r="H359" s="6">
        <v>192.6</v>
      </c>
      <c r="I359" s="6">
        <v>156.30000000000001</v>
      </c>
      <c r="J359" s="6">
        <v>142.9</v>
      </c>
      <c r="K359" s="6">
        <v>170.7</v>
      </c>
      <c r="L359" s="6">
        <v>120.3</v>
      </c>
      <c r="M359" s="6">
        <v>210.5</v>
      </c>
      <c r="N359" s="6">
        <v>176.9</v>
      </c>
      <c r="O359" s="6">
        <v>188.5</v>
      </c>
      <c r="P359" s="6">
        <v>175</v>
      </c>
      <c r="Q359" s="6">
        <v>196.9</v>
      </c>
      <c r="R359" s="6">
        <v>189</v>
      </c>
      <c r="S359" s="6">
        <v>186.3</v>
      </c>
      <c r="T359" s="6">
        <v>188.6</v>
      </c>
      <c r="U359" s="6" t="s">
        <v>32</v>
      </c>
      <c r="V359" s="6">
        <v>183.2</v>
      </c>
      <c r="W359" s="6">
        <v>177.2</v>
      </c>
      <c r="X359" s="6">
        <v>184.7</v>
      </c>
      <c r="Y359" s="6">
        <v>168.2</v>
      </c>
      <c r="Z359" s="6">
        <v>171.8</v>
      </c>
      <c r="AA359" s="6">
        <v>177.8</v>
      </c>
      <c r="AB359" s="6">
        <v>178.4</v>
      </c>
      <c r="AC359" s="6">
        <v>176.5</v>
      </c>
      <c r="AD359" s="6">
        <v>177.8</v>
      </c>
      <c r="AE359">
        <f>SUM(Table1[[#This Row],[Cereals and products]:[Food and beverages]])</f>
        <v>2283.2000000000003</v>
      </c>
    </row>
    <row r="360" spans="1:31" x14ac:dyDescent="0.3">
      <c r="A360" s="5" t="s">
        <v>33</v>
      </c>
      <c r="B360" s="5">
        <v>2023</v>
      </c>
      <c r="C360" s="5" t="s">
        <v>31</v>
      </c>
      <c r="D360" s="5">
        <v>173.3</v>
      </c>
      <c r="E360" s="5">
        <v>215.2</v>
      </c>
      <c r="F360" s="5">
        <v>197</v>
      </c>
      <c r="G360" s="5">
        <v>175.2</v>
      </c>
      <c r="H360" s="5">
        <v>178</v>
      </c>
      <c r="I360" s="5">
        <v>160.5</v>
      </c>
      <c r="J360" s="5">
        <v>175.3</v>
      </c>
      <c r="K360" s="5">
        <v>171.2</v>
      </c>
      <c r="L360" s="5">
        <v>122.7</v>
      </c>
      <c r="M360" s="5">
        <v>204.3</v>
      </c>
      <c r="N360" s="5">
        <v>163.69999999999999</v>
      </c>
      <c r="O360" s="5">
        <v>194.3</v>
      </c>
      <c r="P360" s="5">
        <v>179.5</v>
      </c>
      <c r="Q360" s="5">
        <v>201.6</v>
      </c>
      <c r="R360" s="5">
        <v>178.7</v>
      </c>
      <c r="S360" s="5">
        <v>165.3</v>
      </c>
      <c r="T360" s="5">
        <v>176.6</v>
      </c>
      <c r="U360" s="5">
        <v>172.1</v>
      </c>
      <c r="V360" s="5">
        <v>180.1</v>
      </c>
      <c r="W360" s="5">
        <v>168</v>
      </c>
      <c r="X360" s="5">
        <v>178.5</v>
      </c>
      <c r="Y360" s="5">
        <v>159.5</v>
      </c>
      <c r="Z360" s="5">
        <v>167.8</v>
      </c>
      <c r="AA360" s="5">
        <v>171.8</v>
      </c>
      <c r="AB360" s="5">
        <v>178.8</v>
      </c>
      <c r="AC360" s="5">
        <v>168.9</v>
      </c>
      <c r="AD360" s="5">
        <v>174.9</v>
      </c>
      <c r="AE360">
        <f>SUM(Table1[[#This Row],[Cereals and products]:[Food and beverages]])</f>
        <v>2310.2000000000003</v>
      </c>
    </row>
    <row r="361" spans="1:31" x14ac:dyDescent="0.3">
      <c r="A361" s="6" t="s">
        <v>34</v>
      </c>
      <c r="B361" s="6">
        <v>2023</v>
      </c>
      <c r="C361" s="6" t="s">
        <v>31</v>
      </c>
      <c r="D361" s="6">
        <v>173.8</v>
      </c>
      <c r="E361" s="6">
        <v>210.7</v>
      </c>
      <c r="F361" s="6">
        <v>194.5</v>
      </c>
      <c r="G361" s="6">
        <v>174.6</v>
      </c>
      <c r="H361" s="6">
        <v>187.2</v>
      </c>
      <c r="I361" s="6">
        <v>158.30000000000001</v>
      </c>
      <c r="J361" s="6">
        <v>153.9</v>
      </c>
      <c r="K361" s="6">
        <v>170.9</v>
      </c>
      <c r="L361" s="6">
        <v>121.1</v>
      </c>
      <c r="M361" s="6">
        <v>208.4</v>
      </c>
      <c r="N361" s="6">
        <v>171.4</v>
      </c>
      <c r="O361" s="6">
        <v>191.2</v>
      </c>
      <c r="P361" s="6">
        <v>176.7</v>
      </c>
      <c r="Q361" s="6">
        <v>198.2</v>
      </c>
      <c r="R361" s="6">
        <v>184.9</v>
      </c>
      <c r="S361" s="6">
        <v>177.6</v>
      </c>
      <c r="T361" s="6">
        <v>183.8</v>
      </c>
      <c r="U361" s="6">
        <v>172.1</v>
      </c>
      <c r="V361" s="6">
        <v>182</v>
      </c>
      <c r="W361" s="6">
        <v>172.9</v>
      </c>
      <c r="X361" s="6">
        <v>182.3</v>
      </c>
      <c r="Y361" s="6">
        <v>163.6</v>
      </c>
      <c r="Z361" s="6">
        <v>169.5</v>
      </c>
      <c r="AA361" s="6">
        <v>174.3</v>
      </c>
      <c r="AB361" s="6">
        <v>178.6</v>
      </c>
      <c r="AC361" s="6">
        <v>172.8</v>
      </c>
      <c r="AD361" s="6">
        <v>176.5</v>
      </c>
      <c r="AE361">
        <f>SUM(Table1[[#This Row],[Cereals and products]:[Food and beverages]])</f>
        <v>2292.6999999999998</v>
      </c>
    </row>
    <row r="362" spans="1:31" x14ac:dyDescent="0.3">
      <c r="A362" s="5" t="s">
        <v>30</v>
      </c>
      <c r="B362" s="5">
        <v>2023</v>
      </c>
      <c r="C362" s="5" t="s">
        <v>35</v>
      </c>
      <c r="D362" s="5">
        <v>174.2</v>
      </c>
      <c r="E362" s="5">
        <v>205.2</v>
      </c>
      <c r="F362" s="5">
        <v>173.9</v>
      </c>
      <c r="G362" s="5">
        <v>177</v>
      </c>
      <c r="H362" s="5">
        <v>183.4</v>
      </c>
      <c r="I362" s="5">
        <v>167.2</v>
      </c>
      <c r="J362" s="5">
        <v>140.9</v>
      </c>
      <c r="K362" s="5">
        <v>170.4</v>
      </c>
      <c r="L362" s="5">
        <v>119.1</v>
      </c>
      <c r="M362" s="5">
        <v>212.1</v>
      </c>
      <c r="N362" s="5">
        <v>177.6</v>
      </c>
      <c r="O362" s="5">
        <v>189.9</v>
      </c>
      <c r="P362" s="5">
        <v>174.8</v>
      </c>
      <c r="Q362" s="5">
        <v>198.3</v>
      </c>
      <c r="R362" s="5">
        <v>190</v>
      </c>
      <c r="S362" s="5">
        <v>187</v>
      </c>
      <c r="T362" s="5">
        <v>189.6</v>
      </c>
      <c r="U362" s="5" t="s">
        <v>32</v>
      </c>
      <c r="V362" s="5">
        <v>181.6</v>
      </c>
      <c r="W362" s="5">
        <v>178.6</v>
      </c>
      <c r="X362" s="5">
        <v>186.6</v>
      </c>
      <c r="Y362" s="5">
        <v>169</v>
      </c>
      <c r="Z362" s="5">
        <v>172.8</v>
      </c>
      <c r="AA362" s="5">
        <v>178.5</v>
      </c>
      <c r="AB362" s="5">
        <v>180.7</v>
      </c>
      <c r="AC362" s="5">
        <v>177.9</v>
      </c>
      <c r="AD362" s="5">
        <v>178</v>
      </c>
      <c r="AE362">
        <f>SUM(Table1[[#This Row],[Cereals and products]:[Food and beverages]])</f>
        <v>2265.6999999999998</v>
      </c>
    </row>
    <row r="363" spans="1:31" x14ac:dyDescent="0.3">
      <c r="A363" s="6" t="s">
        <v>33</v>
      </c>
      <c r="B363" s="6">
        <v>2023</v>
      </c>
      <c r="C363" s="6" t="s">
        <v>35</v>
      </c>
      <c r="D363" s="6">
        <v>174.7</v>
      </c>
      <c r="E363" s="6">
        <v>212.2</v>
      </c>
      <c r="F363" s="6">
        <v>177.2</v>
      </c>
      <c r="G363" s="6">
        <v>177.9</v>
      </c>
      <c r="H363" s="6">
        <v>172.2</v>
      </c>
      <c r="I363" s="6">
        <v>172.1</v>
      </c>
      <c r="J363" s="6">
        <v>175.8</v>
      </c>
      <c r="K363" s="6">
        <v>172.2</v>
      </c>
      <c r="L363" s="6">
        <v>121.9</v>
      </c>
      <c r="M363" s="6">
        <v>204.8</v>
      </c>
      <c r="N363" s="6">
        <v>164.9</v>
      </c>
      <c r="O363" s="6">
        <v>196.6</v>
      </c>
      <c r="P363" s="6">
        <v>180.7</v>
      </c>
      <c r="Q363" s="6">
        <v>202.7</v>
      </c>
      <c r="R363" s="6">
        <v>180.3</v>
      </c>
      <c r="S363" s="6">
        <v>167</v>
      </c>
      <c r="T363" s="6">
        <v>178.2</v>
      </c>
      <c r="U363" s="6">
        <v>173.5</v>
      </c>
      <c r="V363" s="6">
        <v>182.8</v>
      </c>
      <c r="W363" s="6">
        <v>169.2</v>
      </c>
      <c r="X363" s="6">
        <v>180.8</v>
      </c>
      <c r="Y363" s="6">
        <v>159.80000000000001</v>
      </c>
      <c r="Z363" s="6">
        <v>168.4</v>
      </c>
      <c r="AA363" s="6">
        <v>172.5</v>
      </c>
      <c r="AB363" s="6">
        <v>181.4</v>
      </c>
      <c r="AC363" s="6">
        <v>170</v>
      </c>
      <c r="AD363" s="6">
        <v>176.3</v>
      </c>
      <c r="AE363">
        <f>SUM(Table1[[#This Row],[Cereals and products]:[Food and beverages]])</f>
        <v>2303.1999999999998</v>
      </c>
    </row>
    <row r="364" spans="1:31" x14ac:dyDescent="0.3">
      <c r="A364" s="5" t="s">
        <v>34</v>
      </c>
      <c r="B364" s="5">
        <v>2023</v>
      </c>
      <c r="C364" s="5" t="s">
        <v>35</v>
      </c>
      <c r="D364" s="5">
        <v>174.4</v>
      </c>
      <c r="E364" s="5">
        <v>207.7</v>
      </c>
      <c r="F364" s="5">
        <v>175.2</v>
      </c>
      <c r="G364" s="5">
        <v>177.3</v>
      </c>
      <c r="H364" s="5">
        <v>179.3</v>
      </c>
      <c r="I364" s="5">
        <v>169.5</v>
      </c>
      <c r="J364" s="5">
        <v>152.69999999999999</v>
      </c>
      <c r="K364" s="5">
        <v>171</v>
      </c>
      <c r="L364" s="5">
        <v>120</v>
      </c>
      <c r="M364" s="5">
        <v>209.7</v>
      </c>
      <c r="N364" s="5">
        <v>172.3</v>
      </c>
      <c r="O364" s="5">
        <v>193</v>
      </c>
      <c r="P364" s="5">
        <v>177</v>
      </c>
      <c r="Q364" s="5">
        <v>199.5</v>
      </c>
      <c r="R364" s="5">
        <v>186.2</v>
      </c>
      <c r="S364" s="5">
        <v>178.7</v>
      </c>
      <c r="T364" s="5">
        <v>185.1</v>
      </c>
      <c r="U364" s="5">
        <v>173.5</v>
      </c>
      <c r="V364" s="5">
        <v>182.1</v>
      </c>
      <c r="W364" s="5">
        <v>174.2</v>
      </c>
      <c r="X364" s="5">
        <v>184.4</v>
      </c>
      <c r="Y364" s="5">
        <v>164.2</v>
      </c>
      <c r="Z364" s="5">
        <v>170.3</v>
      </c>
      <c r="AA364" s="5">
        <v>175</v>
      </c>
      <c r="AB364" s="5">
        <v>181</v>
      </c>
      <c r="AC364" s="5">
        <v>174.1</v>
      </c>
      <c r="AD364" s="5">
        <v>177.2</v>
      </c>
      <c r="AE364">
        <f>SUM(Table1[[#This Row],[Cereals and products]:[Food and beverages]])</f>
        <v>2279.1</v>
      </c>
    </row>
    <row r="365" spans="1:31" x14ac:dyDescent="0.3">
      <c r="A365" s="6" t="s">
        <v>30</v>
      </c>
      <c r="B365" s="6">
        <v>2023</v>
      </c>
      <c r="C365" s="6" t="s">
        <v>36</v>
      </c>
      <c r="D365" s="6">
        <v>174.3</v>
      </c>
      <c r="E365" s="6">
        <v>205.2</v>
      </c>
      <c r="F365" s="6">
        <v>173.9</v>
      </c>
      <c r="G365" s="6">
        <v>177</v>
      </c>
      <c r="H365" s="6">
        <v>183.3</v>
      </c>
      <c r="I365" s="6">
        <v>167.2</v>
      </c>
      <c r="J365" s="6">
        <v>140.9</v>
      </c>
      <c r="K365" s="6">
        <v>170.5</v>
      </c>
      <c r="L365" s="6">
        <v>119.1</v>
      </c>
      <c r="M365" s="6">
        <v>212.1</v>
      </c>
      <c r="N365" s="6">
        <v>177.6</v>
      </c>
      <c r="O365" s="6">
        <v>189.9</v>
      </c>
      <c r="P365" s="6">
        <v>174.8</v>
      </c>
      <c r="Q365" s="6">
        <v>198.4</v>
      </c>
      <c r="R365" s="6">
        <v>190</v>
      </c>
      <c r="S365" s="6">
        <v>187</v>
      </c>
      <c r="T365" s="6">
        <v>189.6</v>
      </c>
      <c r="U365" s="6" t="s">
        <v>32</v>
      </c>
      <c r="V365" s="6">
        <v>181.4</v>
      </c>
      <c r="W365" s="6">
        <v>178.6</v>
      </c>
      <c r="X365" s="6">
        <v>186.6</v>
      </c>
      <c r="Y365" s="6">
        <v>169</v>
      </c>
      <c r="Z365" s="6">
        <v>172.8</v>
      </c>
      <c r="AA365" s="6">
        <v>178.5</v>
      </c>
      <c r="AB365" s="6">
        <v>180.7</v>
      </c>
      <c r="AC365" s="6">
        <v>177.9</v>
      </c>
      <c r="AD365" s="6">
        <v>178</v>
      </c>
      <c r="AE365">
        <f>SUM(Table1[[#This Row],[Cereals and products]:[Food and beverages]])</f>
        <v>2265.8000000000002</v>
      </c>
    </row>
    <row r="366" spans="1:31" x14ac:dyDescent="0.3">
      <c r="A366" s="5" t="s">
        <v>33</v>
      </c>
      <c r="B366" s="5">
        <v>2023</v>
      </c>
      <c r="C366" s="5" t="s">
        <v>36</v>
      </c>
      <c r="D366" s="5">
        <v>174.7</v>
      </c>
      <c r="E366" s="5">
        <v>212.2</v>
      </c>
      <c r="F366" s="5">
        <v>177.2</v>
      </c>
      <c r="G366" s="5">
        <v>177.9</v>
      </c>
      <c r="H366" s="5">
        <v>172.2</v>
      </c>
      <c r="I366" s="5">
        <v>172.1</v>
      </c>
      <c r="J366" s="5">
        <v>175.9</v>
      </c>
      <c r="K366" s="5">
        <v>172.2</v>
      </c>
      <c r="L366" s="5">
        <v>121.9</v>
      </c>
      <c r="M366" s="5">
        <v>204.8</v>
      </c>
      <c r="N366" s="5">
        <v>164.9</v>
      </c>
      <c r="O366" s="5">
        <v>196.6</v>
      </c>
      <c r="P366" s="5">
        <v>180.8</v>
      </c>
      <c r="Q366" s="5">
        <v>202.7</v>
      </c>
      <c r="R366" s="5">
        <v>180.2</v>
      </c>
      <c r="S366" s="5">
        <v>167</v>
      </c>
      <c r="T366" s="5">
        <v>178.2</v>
      </c>
      <c r="U366" s="5">
        <v>173.5</v>
      </c>
      <c r="V366" s="5">
        <v>182.6</v>
      </c>
      <c r="W366" s="5">
        <v>169.2</v>
      </c>
      <c r="X366" s="5">
        <v>180.8</v>
      </c>
      <c r="Y366" s="5">
        <v>159.80000000000001</v>
      </c>
      <c r="Z366" s="5">
        <v>168.4</v>
      </c>
      <c r="AA366" s="5">
        <v>172.5</v>
      </c>
      <c r="AB366" s="5">
        <v>181.5</v>
      </c>
      <c r="AC366" s="5">
        <v>170</v>
      </c>
      <c r="AD366" s="5">
        <v>176.3</v>
      </c>
      <c r="AE366">
        <f>SUM(Table1[[#This Row],[Cereals and products]:[Food and beverages]])</f>
        <v>2303.4</v>
      </c>
    </row>
    <row r="367" spans="1:31" x14ac:dyDescent="0.3">
      <c r="A367" s="6" t="s">
        <v>34</v>
      </c>
      <c r="B367" s="6">
        <v>2023</v>
      </c>
      <c r="C367" s="6" t="s">
        <v>36</v>
      </c>
      <c r="D367" s="6">
        <v>174.4</v>
      </c>
      <c r="E367" s="6">
        <v>207.7</v>
      </c>
      <c r="F367" s="6">
        <v>175.2</v>
      </c>
      <c r="G367" s="6">
        <v>177.3</v>
      </c>
      <c r="H367" s="6">
        <v>179.2</v>
      </c>
      <c r="I367" s="6">
        <v>169.5</v>
      </c>
      <c r="J367" s="6">
        <v>152.80000000000001</v>
      </c>
      <c r="K367" s="6">
        <v>171.1</v>
      </c>
      <c r="L367" s="6">
        <v>120</v>
      </c>
      <c r="M367" s="6">
        <v>209.7</v>
      </c>
      <c r="N367" s="6">
        <v>172.3</v>
      </c>
      <c r="O367" s="6">
        <v>193</v>
      </c>
      <c r="P367" s="6">
        <v>177</v>
      </c>
      <c r="Q367" s="6">
        <v>199.5</v>
      </c>
      <c r="R367" s="6">
        <v>186.1</v>
      </c>
      <c r="S367" s="6">
        <v>178.7</v>
      </c>
      <c r="T367" s="6">
        <v>185.1</v>
      </c>
      <c r="U367" s="6">
        <v>173.5</v>
      </c>
      <c r="V367" s="6">
        <v>181.9</v>
      </c>
      <c r="W367" s="6">
        <v>174.2</v>
      </c>
      <c r="X367" s="6">
        <v>184.4</v>
      </c>
      <c r="Y367" s="6">
        <v>164.2</v>
      </c>
      <c r="Z367" s="6">
        <v>170.3</v>
      </c>
      <c r="AA367" s="6">
        <v>175</v>
      </c>
      <c r="AB367" s="6">
        <v>181</v>
      </c>
      <c r="AC367" s="6">
        <v>174.1</v>
      </c>
      <c r="AD367" s="6">
        <v>177.2</v>
      </c>
      <c r="AE367">
        <f>SUM(Table1[[#This Row],[Cereals and products]:[Food and beverages]])</f>
        <v>2279.1999999999998</v>
      </c>
    </row>
    <row r="368" spans="1:31" x14ac:dyDescent="0.3">
      <c r="A368" s="5" t="s">
        <v>30</v>
      </c>
      <c r="B368" s="5">
        <v>2023</v>
      </c>
      <c r="C368" s="5" t="s">
        <v>37</v>
      </c>
      <c r="D368" s="5">
        <v>173.3</v>
      </c>
      <c r="E368" s="5">
        <v>206.9</v>
      </c>
      <c r="F368" s="5">
        <v>167.9</v>
      </c>
      <c r="G368" s="5">
        <v>178.2</v>
      </c>
      <c r="H368" s="5">
        <v>178.5</v>
      </c>
      <c r="I368" s="5">
        <v>173.7</v>
      </c>
      <c r="J368" s="5">
        <v>142.80000000000001</v>
      </c>
      <c r="K368" s="5">
        <v>172.8</v>
      </c>
      <c r="L368" s="5">
        <v>120.4</v>
      </c>
      <c r="M368" s="5">
        <v>215.5</v>
      </c>
      <c r="N368" s="5">
        <v>178.2</v>
      </c>
      <c r="O368" s="5">
        <v>190.5</v>
      </c>
      <c r="P368" s="5">
        <v>175.5</v>
      </c>
      <c r="Q368" s="5">
        <v>199.5</v>
      </c>
      <c r="R368" s="5">
        <v>190.7</v>
      </c>
      <c r="S368" s="5">
        <v>187.3</v>
      </c>
      <c r="T368" s="5">
        <v>190.2</v>
      </c>
      <c r="U368" s="5" t="s">
        <v>48</v>
      </c>
      <c r="V368" s="5">
        <v>181.5</v>
      </c>
      <c r="W368" s="5">
        <v>179.1</v>
      </c>
      <c r="X368" s="5">
        <v>187.2</v>
      </c>
      <c r="Y368" s="5">
        <v>169.4</v>
      </c>
      <c r="Z368" s="5">
        <v>173.2</v>
      </c>
      <c r="AA368" s="5">
        <v>179.4</v>
      </c>
      <c r="AB368" s="5">
        <v>183.8</v>
      </c>
      <c r="AC368" s="5">
        <v>178.9</v>
      </c>
      <c r="AD368" s="5">
        <v>178.8</v>
      </c>
      <c r="AE368">
        <f>SUM(Table1[[#This Row],[Cereals and products]:[Food and beverages]])</f>
        <v>2274.1999999999998</v>
      </c>
    </row>
    <row r="369" spans="1:31" x14ac:dyDescent="0.3">
      <c r="A369" s="6" t="s">
        <v>33</v>
      </c>
      <c r="B369" s="6">
        <v>2023</v>
      </c>
      <c r="C369" s="6" t="s">
        <v>37</v>
      </c>
      <c r="D369" s="6">
        <v>174.8</v>
      </c>
      <c r="E369" s="6">
        <v>213.7</v>
      </c>
      <c r="F369" s="6">
        <v>172.4</v>
      </c>
      <c r="G369" s="6">
        <v>178.8</v>
      </c>
      <c r="H369" s="6">
        <v>168.7</v>
      </c>
      <c r="I369" s="6">
        <v>179.2</v>
      </c>
      <c r="J369" s="6">
        <v>179.9</v>
      </c>
      <c r="K369" s="6">
        <v>174.7</v>
      </c>
      <c r="L369" s="6">
        <v>123.1</v>
      </c>
      <c r="M369" s="6">
        <v>207.8</v>
      </c>
      <c r="N369" s="6">
        <v>165.5</v>
      </c>
      <c r="O369" s="6">
        <v>197</v>
      </c>
      <c r="P369" s="6">
        <v>182.1</v>
      </c>
      <c r="Q369" s="6">
        <v>203.5</v>
      </c>
      <c r="R369" s="6">
        <v>181</v>
      </c>
      <c r="S369" s="6">
        <v>167.7</v>
      </c>
      <c r="T369" s="6">
        <v>178.9</v>
      </c>
      <c r="U369" s="6">
        <v>175.2</v>
      </c>
      <c r="V369" s="6">
        <v>182.1</v>
      </c>
      <c r="W369" s="6">
        <v>169.6</v>
      </c>
      <c r="X369" s="6">
        <v>181.5</v>
      </c>
      <c r="Y369" s="6">
        <v>160.1</v>
      </c>
      <c r="Z369" s="6">
        <v>168.8</v>
      </c>
      <c r="AA369" s="6">
        <v>174.2</v>
      </c>
      <c r="AB369" s="6">
        <v>184.4</v>
      </c>
      <c r="AC369" s="6">
        <v>170.9</v>
      </c>
      <c r="AD369" s="6">
        <v>177.4</v>
      </c>
      <c r="AE369">
        <f>SUM(Table1[[#This Row],[Cereals and products]:[Food and beverages]])</f>
        <v>2317.7000000000003</v>
      </c>
    </row>
    <row r="370" spans="1:31" x14ac:dyDescent="0.3">
      <c r="A370" s="5" t="s">
        <v>34</v>
      </c>
      <c r="B370" s="5">
        <v>2023</v>
      </c>
      <c r="C370" s="5" t="s">
        <v>37</v>
      </c>
      <c r="D370" s="5">
        <v>173.8</v>
      </c>
      <c r="E370" s="5">
        <v>209.3</v>
      </c>
      <c r="F370" s="5">
        <v>169.6</v>
      </c>
      <c r="G370" s="5">
        <v>178.4</v>
      </c>
      <c r="H370" s="5">
        <v>174.9</v>
      </c>
      <c r="I370" s="5">
        <v>176.3</v>
      </c>
      <c r="J370" s="5">
        <v>155.4</v>
      </c>
      <c r="K370" s="5">
        <v>173.4</v>
      </c>
      <c r="L370" s="5">
        <v>121.3</v>
      </c>
      <c r="M370" s="5">
        <v>212.9</v>
      </c>
      <c r="N370" s="5">
        <v>172.9</v>
      </c>
      <c r="O370" s="5">
        <v>193.5</v>
      </c>
      <c r="P370" s="5">
        <v>177.9</v>
      </c>
      <c r="Q370" s="5">
        <v>200.6</v>
      </c>
      <c r="R370" s="5">
        <v>186.9</v>
      </c>
      <c r="S370" s="5">
        <v>179.2</v>
      </c>
      <c r="T370" s="5">
        <v>185.7</v>
      </c>
      <c r="U370" s="5">
        <v>175.2</v>
      </c>
      <c r="V370" s="5">
        <v>181.7</v>
      </c>
      <c r="W370" s="5">
        <v>174.6</v>
      </c>
      <c r="X370" s="5">
        <v>185</v>
      </c>
      <c r="Y370" s="5">
        <v>164.5</v>
      </c>
      <c r="Z370" s="5">
        <v>170.7</v>
      </c>
      <c r="AA370" s="5">
        <v>176.4</v>
      </c>
      <c r="AB370" s="5">
        <v>184</v>
      </c>
      <c r="AC370" s="5">
        <v>175</v>
      </c>
      <c r="AD370" s="5">
        <v>178.1</v>
      </c>
      <c r="AE370">
        <f>SUM(Table1[[#This Row],[Cereals and products]:[Food and beverages]])</f>
        <v>2289.6000000000004</v>
      </c>
    </row>
    <row r="371" spans="1:31" x14ac:dyDescent="0.3">
      <c r="A371" s="6" t="s">
        <v>30</v>
      </c>
      <c r="B371" s="6">
        <v>2023</v>
      </c>
      <c r="C371" s="6" t="s">
        <v>38</v>
      </c>
      <c r="D371" s="6">
        <v>173.2</v>
      </c>
      <c r="E371" s="6">
        <v>211.5</v>
      </c>
      <c r="F371" s="6">
        <v>171</v>
      </c>
      <c r="G371" s="6">
        <v>179.6</v>
      </c>
      <c r="H371" s="6">
        <v>173.3</v>
      </c>
      <c r="I371" s="6">
        <v>169</v>
      </c>
      <c r="J371" s="6">
        <v>148.69999999999999</v>
      </c>
      <c r="K371" s="6">
        <v>174.9</v>
      </c>
      <c r="L371" s="6">
        <v>121.9</v>
      </c>
      <c r="M371" s="6">
        <v>221</v>
      </c>
      <c r="N371" s="6">
        <v>178.7</v>
      </c>
      <c r="O371" s="6">
        <v>191.1</v>
      </c>
      <c r="P371" s="6">
        <v>176.8</v>
      </c>
      <c r="Q371" s="6">
        <v>199.9</v>
      </c>
      <c r="R371" s="6">
        <v>191.2</v>
      </c>
      <c r="S371" s="6">
        <v>187.9</v>
      </c>
      <c r="T371" s="6">
        <v>190.8</v>
      </c>
      <c r="U371" s="6" t="s">
        <v>48</v>
      </c>
      <c r="V371" s="6">
        <v>182.5</v>
      </c>
      <c r="W371" s="6">
        <v>179.8</v>
      </c>
      <c r="X371" s="6">
        <v>187.8</v>
      </c>
      <c r="Y371" s="6">
        <v>169.7</v>
      </c>
      <c r="Z371" s="6">
        <v>173.8</v>
      </c>
      <c r="AA371" s="6">
        <v>180.3</v>
      </c>
      <c r="AB371" s="6">
        <v>184.9</v>
      </c>
      <c r="AC371" s="6">
        <v>179.5</v>
      </c>
      <c r="AD371" s="6">
        <v>179.8</v>
      </c>
      <c r="AE371">
        <f>SUM(Table1[[#This Row],[Cereals and products]:[Food and beverages]])</f>
        <v>2290.7000000000007</v>
      </c>
    </row>
    <row r="372" spans="1:31" x14ac:dyDescent="0.3">
      <c r="A372" s="5" t="s">
        <v>33</v>
      </c>
      <c r="B372" s="5">
        <v>2023</v>
      </c>
      <c r="C372" s="5" t="s">
        <v>38</v>
      </c>
      <c r="D372" s="5">
        <v>174.7</v>
      </c>
      <c r="E372" s="5">
        <v>219.4</v>
      </c>
      <c r="F372" s="5">
        <v>176.7</v>
      </c>
      <c r="G372" s="5">
        <v>179.4</v>
      </c>
      <c r="H372" s="5">
        <v>164.4</v>
      </c>
      <c r="I372" s="5">
        <v>175.8</v>
      </c>
      <c r="J372" s="5">
        <v>185</v>
      </c>
      <c r="K372" s="5">
        <v>176.9</v>
      </c>
      <c r="L372" s="5">
        <v>124.2</v>
      </c>
      <c r="M372" s="5">
        <v>211.9</v>
      </c>
      <c r="N372" s="5">
        <v>165.9</v>
      </c>
      <c r="O372" s="5">
        <v>197.7</v>
      </c>
      <c r="P372" s="5">
        <v>183.1</v>
      </c>
      <c r="Q372" s="5">
        <v>204.2</v>
      </c>
      <c r="R372" s="5">
        <v>181.3</v>
      </c>
      <c r="S372" s="5">
        <v>168.1</v>
      </c>
      <c r="T372" s="5">
        <v>179.3</v>
      </c>
      <c r="U372" s="5">
        <v>175.6</v>
      </c>
      <c r="V372" s="5">
        <v>183.4</v>
      </c>
      <c r="W372" s="5">
        <v>170.1</v>
      </c>
      <c r="X372" s="5">
        <v>182.2</v>
      </c>
      <c r="Y372" s="5">
        <v>160.4</v>
      </c>
      <c r="Z372" s="5">
        <v>169.2</v>
      </c>
      <c r="AA372" s="5">
        <v>174.8</v>
      </c>
      <c r="AB372" s="5">
        <v>185.6</v>
      </c>
      <c r="AC372" s="5">
        <v>171.6</v>
      </c>
      <c r="AD372" s="5">
        <v>178.2</v>
      </c>
      <c r="AE372">
        <f>SUM(Table1[[#This Row],[Cereals and products]:[Food and beverages]])</f>
        <v>2335.1</v>
      </c>
    </row>
    <row r="373" spans="1:31" x14ac:dyDescent="0.3">
      <c r="A373" s="6" t="s">
        <v>34</v>
      </c>
      <c r="B373" s="6">
        <v>2023</v>
      </c>
      <c r="C373" s="6" t="s">
        <v>38</v>
      </c>
      <c r="D373" s="6">
        <v>173.7</v>
      </c>
      <c r="E373" s="6">
        <v>214.3</v>
      </c>
      <c r="F373" s="6">
        <v>173.2</v>
      </c>
      <c r="G373" s="6">
        <v>179.5</v>
      </c>
      <c r="H373" s="6">
        <v>170</v>
      </c>
      <c r="I373" s="6">
        <v>172.2</v>
      </c>
      <c r="J373" s="6">
        <v>161</v>
      </c>
      <c r="K373" s="6">
        <v>175.6</v>
      </c>
      <c r="L373" s="6">
        <v>122.7</v>
      </c>
      <c r="M373" s="6">
        <v>218</v>
      </c>
      <c r="N373" s="6">
        <v>173.4</v>
      </c>
      <c r="O373" s="6">
        <v>194.2</v>
      </c>
      <c r="P373" s="6">
        <v>179.1</v>
      </c>
      <c r="Q373" s="6">
        <v>201</v>
      </c>
      <c r="R373" s="6">
        <v>187.3</v>
      </c>
      <c r="S373" s="6">
        <v>179.7</v>
      </c>
      <c r="T373" s="6">
        <v>186.2</v>
      </c>
      <c r="U373" s="6">
        <v>175.6</v>
      </c>
      <c r="V373" s="6">
        <v>182.8</v>
      </c>
      <c r="W373" s="6">
        <v>175.2</v>
      </c>
      <c r="X373" s="6">
        <v>185.7</v>
      </c>
      <c r="Y373" s="6">
        <v>164.8</v>
      </c>
      <c r="Z373" s="6">
        <v>171.2</v>
      </c>
      <c r="AA373" s="6">
        <v>177.1</v>
      </c>
      <c r="AB373" s="6">
        <v>185.2</v>
      </c>
      <c r="AC373" s="6">
        <v>175.7</v>
      </c>
      <c r="AD373" s="6">
        <v>179.1</v>
      </c>
      <c r="AE373">
        <f>SUM(Table1[[#This Row],[Cereals and products]:[Food and beverages]])</f>
        <v>2306.9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FCFA-0E08-4312-AE2A-399A0A09D86F}">
  <dimension ref="A1:DX83"/>
  <sheetViews>
    <sheetView workbookViewId="0">
      <pane xSplit="3" ySplit="2" topLeftCell="DW3" activePane="bottomRight" state="frozen"/>
      <selection pane="topRight" activeCell="D1" sqref="D1"/>
      <selection pane="bottomLeft" activeCell="A3" sqref="A3"/>
      <selection pane="bottomRight" activeCell="A3" sqref="A3:A12"/>
    </sheetView>
  </sheetViews>
  <sheetFormatPr defaultRowHeight="14.4" x14ac:dyDescent="0.3"/>
  <cols>
    <col min="1" max="1" width="30.44140625" bestFit="1" customWidth="1"/>
    <col min="2" max="2" width="15.44140625" bestFit="1" customWidth="1"/>
    <col min="3" max="3" width="15.44140625" customWidth="1"/>
    <col min="117" max="117" width="8.88671875" customWidth="1"/>
  </cols>
  <sheetData>
    <row r="1" spans="1:128" x14ac:dyDescent="0.3">
      <c r="A1" s="8" t="s">
        <v>64</v>
      </c>
      <c r="B1" s="8" t="s">
        <v>65</v>
      </c>
      <c r="C1" s="3" t="s">
        <v>0</v>
      </c>
      <c r="D1" s="9" t="s">
        <v>1</v>
      </c>
      <c r="E1" s="11">
        <v>2013</v>
      </c>
      <c r="F1" s="11">
        <v>2013</v>
      </c>
      <c r="G1" s="11">
        <v>2013</v>
      </c>
      <c r="H1" s="11">
        <v>2013</v>
      </c>
      <c r="I1" s="11">
        <v>2013</v>
      </c>
      <c r="J1" s="11">
        <v>2013</v>
      </c>
      <c r="K1" s="11">
        <v>2013</v>
      </c>
      <c r="L1" s="11">
        <v>2013</v>
      </c>
      <c r="M1" s="11">
        <v>2013</v>
      </c>
      <c r="N1" s="11">
        <v>2013</v>
      </c>
      <c r="O1" s="11">
        <v>2013</v>
      </c>
      <c r="P1" s="11">
        <v>2013</v>
      </c>
      <c r="Q1" s="12">
        <v>2014</v>
      </c>
      <c r="R1" s="12">
        <v>2014</v>
      </c>
      <c r="S1" s="12">
        <v>2014</v>
      </c>
      <c r="T1" s="12">
        <v>2014</v>
      </c>
      <c r="U1" s="12">
        <v>2014</v>
      </c>
      <c r="V1" s="12">
        <v>2014</v>
      </c>
      <c r="W1" s="12">
        <v>2014</v>
      </c>
      <c r="X1" s="12">
        <v>2014</v>
      </c>
      <c r="Y1" s="12">
        <v>2014</v>
      </c>
      <c r="Z1" s="12">
        <v>2014</v>
      </c>
      <c r="AA1" s="12">
        <v>2014</v>
      </c>
      <c r="AB1" s="12">
        <v>2014</v>
      </c>
      <c r="AC1" s="13">
        <v>2015</v>
      </c>
      <c r="AD1" s="13">
        <v>2015</v>
      </c>
      <c r="AE1" s="13">
        <v>2015</v>
      </c>
      <c r="AF1" s="13">
        <v>2015</v>
      </c>
      <c r="AG1" s="13">
        <v>2015</v>
      </c>
      <c r="AH1" s="13">
        <v>2015</v>
      </c>
      <c r="AI1" s="13">
        <v>2015</v>
      </c>
      <c r="AJ1" s="13">
        <v>2015</v>
      </c>
      <c r="AK1" s="13">
        <v>2015</v>
      </c>
      <c r="AL1" s="13">
        <v>2015</v>
      </c>
      <c r="AM1" s="13">
        <v>2015</v>
      </c>
      <c r="AN1" s="13">
        <v>2015</v>
      </c>
      <c r="AO1" s="14">
        <v>2016</v>
      </c>
      <c r="AP1" s="14">
        <v>2016</v>
      </c>
      <c r="AQ1" s="14">
        <v>2016</v>
      </c>
      <c r="AR1" s="14">
        <v>2016</v>
      </c>
      <c r="AS1" s="14">
        <v>2016</v>
      </c>
      <c r="AT1" s="14">
        <v>2016</v>
      </c>
      <c r="AU1" s="14">
        <v>2016</v>
      </c>
      <c r="AV1" s="14">
        <v>2016</v>
      </c>
      <c r="AW1" s="14">
        <v>2016</v>
      </c>
      <c r="AX1" s="14">
        <v>2016</v>
      </c>
      <c r="AY1" s="14">
        <v>2016</v>
      </c>
      <c r="AZ1" s="14">
        <v>2016</v>
      </c>
      <c r="BA1" s="15">
        <v>2017</v>
      </c>
      <c r="BB1" s="15">
        <v>2017</v>
      </c>
      <c r="BC1" s="15">
        <v>2017</v>
      </c>
      <c r="BD1" s="15">
        <v>2017</v>
      </c>
      <c r="BE1" s="15">
        <v>2017</v>
      </c>
      <c r="BF1" s="15">
        <v>2017</v>
      </c>
      <c r="BG1" s="15">
        <v>2017</v>
      </c>
      <c r="BH1" s="15">
        <v>2017</v>
      </c>
      <c r="BI1" s="15">
        <v>2017</v>
      </c>
      <c r="BJ1" s="15">
        <v>2017</v>
      </c>
      <c r="BK1" s="15">
        <v>2017</v>
      </c>
      <c r="BL1" s="15">
        <v>2017</v>
      </c>
      <c r="BM1" s="16">
        <v>2018</v>
      </c>
      <c r="BN1" s="16">
        <v>2018</v>
      </c>
      <c r="BO1" s="16">
        <v>2018</v>
      </c>
      <c r="BP1" s="16">
        <v>2018</v>
      </c>
      <c r="BQ1" s="16">
        <v>2018</v>
      </c>
      <c r="BR1" s="16">
        <v>2018</v>
      </c>
      <c r="BS1" s="16">
        <v>2018</v>
      </c>
      <c r="BT1" s="16">
        <v>2018</v>
      </c>
      <c r="BU1" s="16">
        <v>2018</v>
      </c>
      <c r="BV1" s="16">
        <v>2018</v>
      </c>
      <c r="BW1" s="16">
        <v>2018</v>
      </c>
      <c r="BX1" s="16">
        <v>2018</v>
      </c>
      <c r="BY1" s="17">
        <v>2019</v>
      </c>
      <c r="BZ1" s="17">
        <v>2019</v>
      </c>
      <c r="CA1" s="17">
        <v>2019</v>
      </c>
      <c r="CB1" s="17">
        <v>2019</v>
      </c>
      <c r="CC1" s="17">
        <v>2019</v>
      </c>
      <c r="CD1" s="17">
        <v>2019</v>
      </c>
      <c r="CE1" s="17">
        <v>2019</v>
      </c>
      <c r="CF1" s="17">
        <v>2019</v>
      </c>
      <c r="CG1" s="17">
        <v>2019</v>
      </c>
      <c r="CH1" s="17">
        <v>2019</v>
      </c>
      <c r="CI1" s="17">
        <v>2019</v>
      </c>
      <c r="CJ1" s="18">
        <v>2020</v>
      </c>
      <c r="CK1" s="18">
        <v>2020</v>
      </c>
      <c r="CL1" s="18">
        <v>2020</v>
      </c>
      <c r="CM1" s="18">
        <v>2020</v>
      </c>
      <c r="CN1" s="18">
        <v>2020</v>
      </c>
      <c r="CO1" s="18">
        <v>2020</v>
      </c>
      <c r="CP1" s="18">
        <v>2020</v>
      </c>
      <c r="CQ1" s="18">
        <v>2020</v>
      </c>
      <c r="CR1" s="18">
        <v>2020</v>
      </c>
      <c r="CS1" s="18">
        <v>2020</v>
      </c>
      <c r="CT1" s="18">
        <v>2020</v>
      </c>
      <c r="CU1" s="18">
        <v>2020</v>
      </c>
      <c r="CV1" s="11">
        <v>2021</v>
      </c>
      <c r="CW1" s="11">
        <v>2021</v>
      </c>
      <c r="CX1" s="11">
        <v>2021</v>
      </c>
      <c r="CY1" s="11">
        <v>2021</v>
      </c>
      <c r="CZ1" s="11">
        <v>2021</v>
      </c>
      <c r="DA1" s="11">
        <v>2021</v>
      </c>
      <c r="DB1" s="11">
        <v>2021</v>
      </c>
      <c r="DC1" s="11">
        <v>2021</v>
      </c>
      <c r="DD1" s="11">
        <v>2021</v>
      </c>
      <c r="DE1" s="11">
        <v>2021</v>
      </c>
      <c r="DF1" s="11">
        <v>2021</v>
      </c>
      <c r="DG1" s="11">
        <v>2021</v>
      </c>
      <c r="DH1" s="19">
        <v>2022</v>
      </c>
      <c r="DI1" s="19">
        <v>2022</v>
      </c>
      <c r="DJ1" s="19">
        <v>2022</v>
      </c>
      <c r="DK1" s="19">
        <v>2022</v>
      </c>
      <c r="DL1" s="19">
        <v>2022</v>
      </c>
      <c r="DM1" s="19">
        <v>2022</v>
      </c>
      <c r="DN1" s="19">
        <v>2022</v>
      </c>
      <c r="DO1" s="19">
        <v>2022</v>
      </c>
      <c r="DP1" s="19">
        <v>2022</v>
      </c>
      <c r="DQ1" s="19">
        <v>2022</v>
      </c>
      <c r="DR1" s="19">
        <v>2022</v>
      </c>
      <c r="DS1" s="19">
        <v>2022</v>
      </c>
      <c r="DT1" s="12">
        <v>2023</v>
      </c>
      <c r="DU1" s="12">
        <v>2023</v>
      </c>
      <c r="DV1" s="12">
        <v>2023</v>
      </c>
      <c r="DW1" s="12">
        <v>2023</v>
      </c>
      <c r="DX1" s="12">
        <v>2023</v>
      </c>
    </row>
    <row r="2" spans="1:128" x14ac:dyDescent="0.3">
      <c r="D2" s="9" t="s">
        <v>2</v>
      </c>
      <c r="E2" s="11" t="s">
        <v>31</v>
      </c>
      <c r="F2" s="11" t="s">
        <v>35</v>
      </c>
      <c r="G2" s="11" t="s">
        <v>36</v>
      </c>
      <c r="H2" s="11" t="s">
        <v>37</v>
      </c>
      <c r="I2" s="11" t="s">
        <v>38</v>
      </c>
      <c r="J2" s="11" t="s">
        <v>39</v>
      </c>
      <c r="K2" s="11" t="s">
        <v>40</v>
      </c>
      <c r="L2" s="11" t="s">
        <v>41</v>
      </c>
      <c r="M2" s="11" t="s">
        <v>42</v>
      </c>
      <c r="N2" s="11" t="s">
        <v>43</v>
      </c>
      <c r="O2" s="11" t="s">
        <v>44</v>
      </c>
      <c r="P2" s="11" t="s">
        <v>46</v>
      </c>
      <c r="Q2" s="12" t="s">
        <v>31</v>
      </c>
      <c r="R2" s="12" t="s">
        <v>35</v>
      </c>
      <c r="S2" s="12" t="s">
        <v>36</v>
      </c>
      <c r="T2" s="12" t="s">
        <v>37</v>
      </c>
      <c r="U2" s="12" t="s">
        <v>38</v>
      </c>
      <c r="V2" s="12" t="s">
        <v>39</v>
      </c>
      <c r="W2" s="12" t="s">
        <v>40</v>
      </c>
      <c r="X2" s="12" t="s">
        <v>41</v>
      </c>
      <c r="Y2" s="12" t="s">
        <v>42</v>
      </c>
      <c r="Z2" s="12" t="s">
        <v>43</v>
      </c>
      <c r="AA2" s="12" t="s">
        <v>45</v>
      </c>
      <c r="AB2" s="12" t="s">
        <v>46</v>
      </c>
      <c r="AC2" s="13" t="s">
        <v>31</v>
      </c>
      <c r="AD2" s="13" t="s">
        <v>35</v>
      </c>
      <c r="AE2" s="13" t="s">
        <v>36</v>
      </c>
      <c r="AF2" s="13" t="s">
        <v>37</v>
      </c>
      <c r="AG2" s="13" t="s">
        <v>38</v>
      </c>
      <c r="AH2" s="13" t="s">
        <v>39</v>
      </c>
      <c r="AI2" s="13" t="s">
        <v>40</v>
      </c>
      <c r="AJ2" s="13" t="s">
        <v>41</v>
      </c>
      <c r="AK2" s="13" t="s">
        <v>42</v>
      </c>
      <c r="AL2" s="13" t="s">
        <v>43</v>
      </c>
      <c r="AM2" s="13" t="s">
        <v>45</v>
      </c>
      <c r="AN2" s="13" t="s">
        <v>46</v>
      </c>
      <c r="AO2" s="14" t="s">
        <v>31</v>
      </c>
      <c r="AP2" s="14" t="s">
        <v>35</v>
      </c>
      <c r="AQ2" s="14" t="s">
        <v>36</v>
      </c>
      <c r="AR2" s="14" t="s">
        <v>37</v>
      </c>
      <c r="AS2" s="14" t="s">
        <v>38</v>
      </c>
      <c r="AT2" s="14" t="s">
        <v>39</v>
      </c>
      <c r="AU2" s="14" t="s">
        <v>40</v>
      </c>
      <c r="AV2" s="14" t="s">
        <v>41</v>
      </c>
      <c r="AW2" s="14" t="s">
        <v>42</v>
      </c>
      <c r="AX2" s="14" t="s">
        <v>43</v>
      </c>
      <c r="AY2" s="14" t="s">
        <v>45</v>
      </c>
      <c r="AZ2" s="14" t="s">
        <v>46</v>
      </c>
      <c r="BA2" s="15" t="s">
        <v>31</v>
      </c>
      <c r="BB2" s="15" t="s">
        <v>35</v>
      </c>
      <c r="BC2" s="15" t="s">
        <v>36</v>
      </c>
      <c r="BD2" s="15" t="s">
        <v>37</v>
      </c>
      <c r="BE2" s="15" t="s">
        <v>38</v>
      </c>
      <c r="BF2" s="15" t="s">
        <v>39</v>
      </c>
      <c r="BG2" s="15" t="s">
        <v>40</v>
      </c>
      <c r="BH2" s="15" t="s">
        <v>41</v>
      </c>
      <c r="BI2" s="15" t="s">
        <v>42</v>
      </c>
      <c r="BJ2" s="15" t="s">
        <v>43</v>
      </c>
      <c r="BK2" s="15" t="s">
        <v>45</v>
      </c>
      <c r="BL2" s="15" t="s">
        <v>46</v>
      </c>
      <c r="BM2" s="16" t="s">
        <v>31</v>
      </c>
      <c r="BN2" s="16" t="s">
        <v>35</v>
      </c>
      <c r="BO2" s="16" t="s">
        <v>36</v>
      </c>
      <c r="BP2" s="16" t="s">
        <v>37</v>
      </c>
      <c r="BQ2" s="16" t="s">
        <v>38</v>
      </c>
      <c r="BR2" s="16" t="s">
        <v>39</v>
      </c>
      <c r="BS2" s="16" t="s">
        <v>40</v>
      </c>
      <c r="BT2" s="16" t="s">
        <v>41</v>
      </c>
      <c r="BU2" s="16" t="s">
        <v>42</v>
      </c>
      <c r="BV2" s="16" t="s">
        <v>43</v>
      </c>
      <c r="BW2" s="16" t="s">
        <v>45</v>
      </c>
      <c r="BX2" s="16" t="s">
        <v>46</v>
      </c>
      <c r="BY2" s="17" t="s">
        <v>31</v>
      </c>
      <c r="BZ2" s="17" t="s">
        <v>35</v>
      </c>
      <c r="CA2" s="17" t="s">
        <v>36</v>
      </c>
      <c r="CB2" s="17" t="s">
        <v>38</v>
      </c>
      <c r="CC2" s="17" t="s">
        <v>39</v>
      </c>
      <c r="CD2" s="17" t="s">
        <v>40</v>
      </c>
      <c r="CE2" s="17" t="s">
        <v>41</v>
      </c>
      <c r="CF2" s="17" t="s">
        <v>42</v>
      </c>
      <c r="CG2" s="17" t="s">
        <v>43</v>
      </c>
      <c r="CH2" s="17" t="s">
        <v>45</v>
      </c>
      <c r="CI2" s="17" t="s">
        <v>46</v>
      </c>
      <c r="CJ2" s="18" t="s">
        <v>31</v>
      </c>
      <c r="CK2" s="18" t="s">
        <v>35</v>
      </c>
      <c r="CL2" s="18" t="s">
        <v>36</v>
      </c>
      <c r="CM2" s="18" t="s">
        <v>37</v>
      </c>
      <c r="CN2" s="18" t="s">
        <v>38</v>
      </c>
      <c r="CO2" s="18" t="s">
        <v>39</v>
      </c>
      <c r="CP2" s="18" t="s">
        <v>40</v>
      </c>
      <c r="CQ2" s="18" t="s">
        <v>41</v>
      </c>
      <c r="CR2" s="18" t="s">
        <v>42</v>
      </c>
      <c r="CS2" s="18" t="s">
        <v>43</v>
      </c>
      <c r="CT2" s="18" t="s">
        <v>45</v>
      </c>
      <c r="CU2" s="18" t="s">
        <v>46</v>
      </c>
      <c r="CV2" s="11" t="s">
        <v>31</v>
      </c>
      <c r="CW2" s="11" t="s">
        <v>35</v>
      </c>
      <c r="CX2" s="11" t="s">
        <v>36</v>
      </c>
      <c r="CY2" s="11" t="s">
        <v>37</v>
      </c>
      <c r="CZ2" s="11" t="s">
        <v>38</v>
      </c>
      <c r="DA2" s="11" t="s">
        <v>39</v>
      </c>
      <c r="DB2" s="11" t="s">
        <v>40</v>
      </c>
      <c r="DC2" s="11" t="s">
        <v>41</v>
      </c>
      <c r="DD2" s="11" t="s">
        <v>42</v>
      </c>
      <c r="DE2" s="11" t="s">
        <v>43</v>
      </c>
      <c r="DF2" s="11" t="s">
        <v>45</v>
      </c>
      <c r="DG2" s="11" t="s">
        <v>46</v>
      </c>
      <c r="DH2" s="19" t="s">
        <v>31</v>
      </c>
      <c r="DI2" s="19" t="s">
        <v>35</v>
      </c>
      <c r="DJ2" s="19" t="s">
        <v>36</v>
      </c>
      <c r="DK2" s="19" t="s">
        <v>37</v>
      </c>
      <c r="DL2" s="19" t="s">
        <v>38</v>
      </c>
      <c r="DM2" s="19" t="s">
        <v>39</v>
      </c>
      <c r="DN2" s="19" t="s">
        <v>40</v>
      </c>
      <c r="DO2" s="19" t="s">
        <v>41</v>
      </c>
      <c r="DP2" s="19" t="s">
        <v>42</v>
      </c>
      <c r="DQ2" s="19" t="s">
        <v>43</v>
      </c>
      <c r="DR2" s="19" t="s">
        <v>45</v>
      </c>
      <c r="DS2" s="19" t="s">
        <v>46</v>
      </c>
      <c r="DT2" s="12" t="s">
        <v>31</v>
      </c>
      <c r="DU2" s="12" t="s">
        <v>35</v>
      </c>
      <c r="DV2" s="12" t="s">
        <v>36</v>
      </c>
      <c r="DW2" s="12" t="s">
        <v>37</v>
      </c>
      <c r="DX2" s="12" t="s">
        <v>38</v>
      </c>
    </row>
    <row r="3" spans="1:128" x14ac:dyDescent="0.3">
      <c r="A3" s="171" t="s">
        <v>3</v>
      </c>
      <c r="B3" s="171" t="s">
        <v>66</v>
      </c>
      <c r="C3" s="170" t="s">
        <v>30</v>
      </c>
      <c r="E3">
        <v>107.5</v>
      </c>
      <c r="F3">
        <v>109.2</v>
      </c>
      <c r="G3">
        <v>110.2</v>
      </c>
      <c r="H3">
        <v>110.2</v>
      </c>
      <c r="I3">
        <v>110.9</v>
      </c>
      <c r="J3">
        <v>112.3</v>
      </c>
      <c r="K3">
        <v>113.4</v>
      </c>
      <c r="L3">
        <v>114.3</v>
      </c>
      <c r="M3">
        <v>115.4</v>
      </c>
      <c r="N3">
        <v>116.3</v>
      </c>
      <c r="O3">
        <v>117.3</v>
      </c>
      <c r="P3">
        <v>118.4</v>
      </c>
      <c r="Q3">
        <v>118.9</v>
      </c>
      <c r="R3">
        <v>119.4</v>
      </c>
      <c r="S3">
        <v>120.1</v>
      </c>
      <c r="T3">
        <v>120.2</v>
      </c>
      <c r="U3">
        <v>120.3</v>
      </c>
      <c r="V3">
        <v>120.7</v>
      </c>
      <c r="W3">
        <v>121.7</v>
      </c>
      <c r="X3">
        <v>121.8</v>
      </c>
      <c r="Y3">
        <v>122.3</v>
      </c>
      <c r="Z3">
        <v>122.6</v>
      </c>
      <c r="AA3">
        <v>122.7</v>
      </c>
      <c r="AB3">
        <v>122.4</v>
      </c>
      <c r="AC3">
        <v>123.1</v>
      </c>
      <c r="AD3">
        <v>123.4</v>
      </c>
      <c r="AE3">
        <v>123.3</v>
      </c>
      <c r="AF3">
        <v>123.3</v>
      </c>
      <c r="AG3">
        <v>123.5</v>
      </c>
      <c r="AH3">
        <v>124.1</v>
      </c>
      <c r="AI3">
        <v>124</v>
      </c>
      <c r="AJ3">
        <v>124.7</v>
      </c>
      <c r="AK3">
        <v>125.1</v>
      </c>
      <c r="AL3">
        <v>125.6</v>
      </c>
      <c r="AM3">
        <v>126.1</v>
      </c>
      <c r="AN3">
        <v>126.3</v>
      </c>
      <c r="AO3">
        <v>126.8</v>
      </c>
      <c r="AP3">
        <v>127.1</v>
      </c>
      <c r="AQ3">
        <v>127.3</v>
      </c>
      <c r="AR3">
        <v>127.4</v>
      </c>
      <c r="AS3">
        <v>127.6</v>
      </c>
      <c r="AT3">
        <v>128.6</v>
      </c>
      <c r="AU3">
        <v>129.30000000000001</v>
      </c>
      <c r="AV3">
        <v>130.1</v>
      </c>
      <c r="AW3">
        <v>130.80000000000001</v>
      </c>
      <c r="AX3">
        <v>131.30000000000001</v>
      </c>
      <c r="AY3">
        <v>132</v>
      </c>
      <c r="AZ3">
        <v>132.6</v>
      </c>
      <c r="BA3">
        <v>133.1</v>
      </c>
      <c r="BB3">
        <v>133.30000000000001</v>
      </c>
      <c r="BC3">
        <v>133.6</v>
      </c>
      <c r="BD3">
        <v>133.19999999999999</v>
      </c>
      <c r="BE3">
        <v>133.1</v>
      </c>
      <c r="BF3">
        <v>133.5</v>
      </c>
      <c r="BG3">
        <v>134</v>
      </c>
      <c r="BH3">
        <v>134.80000000000001</v>
      </c>
      <c r="BI3">
        <v>135.19999999999999</v>
      </c>
      <c r="BJ3">
        <v>135.9</v>
      </c>
      <c r="BK3">
        <v>136.30000000000001</v>
      </c>
      <c r="BL3">
        <v>136.4</v>
      </c>
      <c r="BM3">
        <v>136.6</v>
      </c>
      <c r="BN3">
        <v>136.4</v>
      </c>
      <c r="BO3">
        <v>136.80000000000001</v>
      </c>
      <c r="BP3">
        <v>137.1</v>
      </c>
      <c r="BQ3">
        <v>137.4</v>
      </c>
      <c r="BR3">
        <v>137.6</v>
      </c>
      <c r="BS3">
        <v>138.4</v>
      </c>
      <c r="BT3">
        <v>139.19999999999999</v>
      </c>
      <c r="BU3">
        <v>139.4</v>
      </c>
      <c r="BV3">
        <v>139.30000000000001</v>
      </c>
      <c r="BW3">
        <v>137.1</v>
      </c>
      <c r="BX3">
        <v>137.1</v>
      </c>
      <c r="BY3">
        <v>136.6</v>
      </c>
      <c r="BZ3">
        <v>136.80000000000001</v>
      </c>
      <c r="CA3">
        <v>136.9</v>
      </c>
      <c r="CB3">
        <v>137.4</v>
      </c>
      <c r="CC3">
        <v>137.80000000000001</v>
      </c>
      <c r="CD3">
        <v>138.4</v>
      </c>
      <c r="CE3">
        <v>139.19999999999999</v>
      </c>
      <c r="CF3">
        <v>140.1</v>
      </c>
      <c r="CG3">
        <v>141</v>
      </c>
      <c r="CH3">
        <v>141.80000000000001</v>
      </c>
      <c r="CI3">
        <v>142.80000000000001</v>
      </c>
      <c r="CJ3">
        <v>143.69999999999999</v>
      </c>
      <c r="CK3">
        <v>144.19999999999999</v>
      </c>
      <c r="CL3">
        <v>144.4</v>
      </c>
      <c r="CM3">
        <v>147.19999999999999</v>
      </c>
      <c r="CN3" t="s">
        <v>32</v>
      </c>
      <c r="CO3">
        <v>148.19999999999999</v>
      </c>
      <c r="CP3">
        <v>148.19999999999999</v>
      </c>
      <c r="CQ3">
        <v>147.6</v>
      </c>
      <c r="CR3">
        <v>146.9</v>
      </c>
      <c r="CS3">
        <v>146</v>
      </c>
      <c r="CT3">
        <v>145.4</v>
      </c>
      <c r="CU3">
        <v>144.6</v>
      </c>
      <c r="CV3">
        <v>143.4</v>
      </c>
      <c r="CW3">
        <v>142.80000000000001</v>
      </c>
      <c r="CX3">
        <v>142.5</v>
      </c>
      <c r="CY3">
        <v>142.69999999999999</v>
      </c>
      <c r="CZ3">
        <v>145.1</v>
      </c>
      <c r="DA3">
        <v>145.6</v>
      </c>
      <c r="DB3">
        <v>145.1</v>
      </c>
      <c r="DC3">
        <v>144.9</v>
      </c>
      <c r="DD3">
        <v>145.4</v>
      </c>
      <c r="DE3">
        <v>146.1</v>
      </c>
      <c r="DF3">
        <v>146.9</v>
      </c>
      <c r="DG3">
        <v>147.4</v>
      </c>
      <c r="DH3">
        <v>148.30000000000001</v>
      </c>
      <c r="DI3">
        <v>148.80000000000001</v>
      </c>
      <c r="DJ3">
        <v>150.19999999999999</v>
      </c>
      <c r="DK3">
        <v>151.80000000000001</v>
      </c>
      <c r="DL3">
        <v>152.9</v>
      </c>
      <c r="DM3">
        <v>153.80000000000001</v>
      </c>
      <c r="DN3">
        <v>155.19999999999999</v>
      </c>
      <c r="DO3">
        <v>159.5</v>
      </c>
      <c r="DP3">
        <v>162.9</v>
      </c>
      <c r="DQ3">
        <v>164.7</v>
      </c>
      <c r="DR3">
        <v>166.9</v>
      </c>
      <c r="DS3">
        <v>168.8</v>
      </c>
      <c r="DT3">
        <v>174</v>
      </c>
      <c r="DU3">
        <v>174.2</v>
      </c>
      <c r="DV3">
        <v>174.3</v>
      </c>
      <c r="DW3">
        <v>173.3</v>
      </c>
      <c r="DX3">
        <v>173.2</v>
      </c>
    </row>
    <row r="4" spans="1:128" x14ac:dyDescent="0.3">
      <c r="A4" s="171" t="s">
        <v>4</v>
      </c>
      <c r="B4" s="171" t="s">
        <v>66</v>
      </c>
      <c r="C4" s="170" t="s">
        <v>30</v>
      </c>
      <c r="E4">
        <v>106.3</v>
      </c>
      <c r="F4">
        <v>108.7</v>
      </c>
      <c r="G4">
        <v>108.8</v>
      </c>
      <c r="H4">
        <v>109.5</v>
      </c>
      <c r="I4">
        <v>109.8</v>
      </c>
      <c r="J4">
        <v>112.1</v>
      </c>
      <c r="K4">
        <v>114.9</v>
      </c>
      <c r="L4">
        <v>115.4</v>
      </c>
      <c r="M4">
        <v>115.7</v>
      </c>
      <c r="N4">
        <v>115.4</v>
      </c>
      <c r="O4">
        <v>114.9</v>
      </c>
      <c r="P4">
        <v>115.9</v>
      </c>
      <c r="Q4">
        <v>117.1</v>
      </c>
      <c r="R4">
        <v>117.7</v>
      </c>
      <c r="S4">
        <v>118.1</v>
      </c>
      <c r="T4">
        <v>118.9</v>
      </c>
      <c r="U4">
        <v>120.2</v>
      </c>
      <c r="V4">
        <v>121.6</v>
      </c>
      <c r="W4">
        <v>122.5</v>
      </c>
      <c r="X4">
        <v>122.8</v>
      </c>
      <c r="Y4">
        <v>122.4</v>
      </c>
      <c r="Z4">
        <v>122.5</v>
      </c>
      <c r="AA4">
        <v>122.6</v>
      </c>
      <c r="AB4">
        <v>122.4</v>
      </c>
      <c r="AC4">
        <v>123.1</v>
      </c>
      <c r="AD4">
        <v>124.4</v>
      </c>
      <c r="AE4">
        <v>124.7</v>
      </c>
      <c r="AF4">
        <v>125.5</v>
      </c>
      <c r="AG4">
        <v>127.1</v>
      </c>
      <c r="AH4">
        <v>130.4</v>
      </c>
      <c r="AI4">
        <v>131.5</v>
      </c>
      <c r="AJ4">
        <v>131.30000000000001</v>
      </c>
      <c r="AK4">
        <v>131.1</v>
      </c>
      <c r="AL4">
        <v>130.4</v>
      </c>
      <c r="AM4">
        <v>130.6</v>
      </c>
      <c r="AN4">
        <v>131.30000000000001</v>
      </c>
      <c r="AO4">
        <v>133.19999999999999</v>
      </c>
      <c r="AP4">
        <v>133.69999999999999</v>
      </c>
      <c r="AQ4">
        <v>134.4</v>
      </c>
      <c r="AR4">
        <v>135.4</v>
      </c>
      <c r="AS4">
        <v>137.5</v>
      </c>
      <c r="AT4">
        <v>138.6</v>
      </c>
      <c r="AU4">
        <v>139.5</v>
      </c>
      <c r="AV4">
        <v>138.80000000000001</v>
      </c>
      <c r="AW4">
        <v>138.19999999999999</v>
      </c>
      <c r="AX4">
        <v>137.6</v>
      </c>
      <c r="AY4">
        <v>137.4</v>
      </c>
      <c r="AZ4">
        <v>137.30000000000001</v>
      </c>
      <c r="BA4">
        <v>137.80000000000001</v>
      </c>
      <c r="BB4">
        <v>138.30000000000001</v>
      </c>
      <c r="BC4">
        <v>138.80000000000001</v>
      </c>
      <c r="BD4">
        <v>138.69999999999999</v>
      </c>
      <c r="BE4">
        <v>140.30000000000001</v>
      </c>
      <c r="BF4">
        <v>143.69999999999999</v>
      </c>
      <c r="BG4">
        <v>144.19999999999999</v>
      </c>
      <c r="BH4">
        <v>143.1</v>
      </c>
      <c r="BI4">
        <v>142</v>
      </c>
      <c r="BJ4">
        <v>141.9</v>
      </c>
      <c r="BK4">
        <v>142.5</v>
      </c>
      <c r="BL4">
        <v>143.69999999999999</v>
      </c>
      <c r="BM4">
        <v>144.4</v>
      </c>
      <c r="BN4">
        <v>143.69999999999999</v>
      </c>
      <c r="BO4">
        <v>143.80000000000001</v>
      </c>
      <c r="BP4">
        <v>144.5</v>
      </c>
      <c r="BQ4">
        <v>145.69999999999999</v>
      </c>
      <c r="BR4">
        <v>148.1</v>
      </c>
      <c r="BS4">
        <v>149.30000000000001</v>
      </c>
      <c r="BT4">
        <v>148.80000000000001</v>
      </c>
      <c r="BU4">
        <v>147.19999999999999</v>
      </c>
      <c r="BV4">
        <v>147.6</v>
      </c>
      <c r="BW4">
        <v>150.80000000000001</v>
      </c>
      <c r="BX4">
        <v>151.9</v>
      </c>
      <c r="BY4">
        <v>152.5</v>
      </c>
      <c r="BZ4">
        <v>153</v>
      </c>
      <c r="CA4">
        <v>154.1</v>
      </c>
      <c r="CB4">
        <v>159.5</v>
      </c>
      <c r="CC4">
        <v>163.5</v>
      </c>
      <c r="CD4">
        <v>164</v>
      </c>
      <c r="CE4">
        <v>161.9</v>
      </c>
      <c r="CF4">
        <v>161.9</v>
      </c>
      <c r="CG4">
        <v>161.6</v>
      </c>
      <c r="CH4">
        <v>163.69999999999999</v>
      </c>
      <c r="CI4">
        <v>165.3</v>
      </c>
      <c r="CJ4">
        <v>167.3</v>
      </c>
      <c r="CK4">
        <v>167.5</v>
      </c>
      <c r="CL4">
        <v>166.8</v>
      </c>
      <c r="CM4" t="s">
        <v>32</v>
      </c>
      <c r="CN4" t="s">
        <v>32</v>
      </c>
      <c r="CO4">
        <v>190.3</v>
      </c>
      <c r="CP4">
        <v>190.3</v>
      </c>
      <c r="CQ4">
        <v>187.2</v>
      </c>
      <c r="CR4">
        <v>183.9</v>
      </c>
      <c r="CS4">
        <v>186.3</v>
      </c>
      <c r="CT4">
        <v>188.6</v>
      </c>
      <c r="CU4">
        <v>188.5</v>
      </c>
      <c r="CV4">
        <v>187.5</v>
      </c>
      <c r="CW4">
        <v>184</v>
      </c>
      <c r="CX4">
        <v>189.4</v>
      </c>
      <c r="CY4">
        <v>195.5</v>
      </c>
      <c r="CZ4">
        <v>198.5</v>
      </c>
      <c r="DA4">
        <v>200.1</v>
      </c>
      <c r="DB4">
        <v>204.5</v>
      </c>
      <c r="DC4">
        <v>202.3</v>
      </c>
      <c r="DD4">
        <v>202.1</v>
      </c>
      <c r="DE4">
        <v>202.5</v>
      </c>
      <c r="DF4">
        <v>199.8</v>
      </c>
      <c r="DG4">
        <v>197</v>
      </c>
      <c r="DH4">
        <v>196.9</v>
      </c>
      <c r="DI4">
        <v>198.1</v>
      </c>
      <c r="DJ4">
        <v>208</v>
      </c>
      <c r="DK4">
        <v>209.7</v>
      </c>
      <c r="DL4">
        <v>214.7</v>
      </c>
      <c r="DM4">
        <v>217.2</v>
      </c>
      <c r="DN4">
        <v>210.8</v>
      </c>
      <c r="DO4">
        <v>204.1</v>
      </c>
      <c r="DP4">
        <v>206.7</v>
      </c>
      <c r="DQ4">
        <v>208.8</v>
      </c>
      <c r="DR4">
        <v>207.2</v>
      </c>
      <c r="DS4">
        <v>206.9</v>
      </c>
      <c r="DT4">
        <v>208.3</v>
      </c>
      <c r="DU4">
        <v>205.2</v>
      </c>
      <c r="DV4">
        <v>205.2</v>
      </c>
      <c r="DW4">
        <v>206.9</v>
      </c>
      <c r="DX4">
        <v>211.5</v>
      </c>
    </row>
    <row r="5" spans="1:128" x14ac:dyDescent="0.3">
      <c r="A5" s="171" t="s">
        <v>5</v>
      </c>
      <c r="B5" s="171" t="s">
        <v>66</v>
      </c>
      <c r="C5" s="170" t="s">
        <v>30</v>
      </c>
      <c r="E5">
        <v>108.1</v>
      </c>
      <c r="F5">
        <v>110.2</v>
      </c>
      <c r="G5">
        <v>109.9</v>
      </c>
      <c r="H5">
        <v>106.9</v>
      </c>
      <c r="I5">
        <v>105.9</v>
      </c>
      <c r="J5">
        <v>108.1</v>
      </c>
      <c r="K5">
        <v>110.5</v>
      </c>
      <c r="L5">
        <v>111.1</v>
      </c>
      <c r="M5">
        <v>111.7</v>
      </c>
      <c r="N5">
        <v>112.6</v>
      </c>
      <c r="O5">
        <v>116.2</v>
      </c>
      <c r="P5">
        <v>120.4</v>
      </c>
      <c r="Q5">
        <v>120.5</v>
      </c>
      <c r="R5">
        <v>121.2</v>
      </c>
      <c r="S5">
        <v>120.7</v>
      </c>
      <c r="T5">
        <v>118.1</v>
      </c>
      <c r="U5">
        <v>116.9</v>
      </c>
      <c r="V5">
        <v>116.1</v>
      </c>
      <c r="W5">
        <v>117.7</v>
      </c>
      <c r="X5">
        <v>117.8</v>
      </c>
      <c r="Y5">
        <v>117.8</v>
      </c>
      <c r="Z5">
        <v>118.3</v>
      </c>
      <c r="AA5">
        <v>119.9</v>
      </c>
      <c r="AB5">
        <v>121.8</v>
      </c>
      <c r="AC5">
        <v>122.1</v>
      </c>
      <c r="AD5">
        <v>122.1</v>
      </c>
      <c r="AE5">
        <v>118.9</v>
      </c>
      <c r="AF5">
        <v>117.2</v>
      </c>
      <c r="AG5">
        <v>117.3</v>
      </c>
      <c r="AH5">
        <v>122.1</v>
      </c>
      <c r="AI5">
        <v>122</v>
      </c>
      <c r="AJ5">
        <v>121.3</v>
      </c>
      <c r="AK5">
        <v>120.7</v>
      </c>
      <c r="AL5">
        <v>120.8</v>
      </c>
      <c r="AM5">
        <v>121.7</v>
      </c>
      <c r="AN5">
        <v>123.3</v>
      </c>
      <c r="AO5">
        <v>126.5</v>
      </c>
      <c r="AP5">
        <v>127.7</v>
      </c>
      <c r="AQ5">
        <v>125.1</v>
      </c>
      <c r="AR5">
        <v>123.4</v>
      </c>
      <c r="AS5">
        <v>124.4</v>
      </c>
      <c r="AT5">
        <v>126.6</v>
      </c>
      <c r="AU5">
        <v>129.6</v>
      </c>
      <c r="AV5">
        <v>130.30000000000001</v>
      </c>
      <c r="AW5">
        <v>130.5</v>
      </c>
      <c r="AX5">
        <v>130.1</v>
      </c>
      <c r="AY5">
        <v>130.6</v>
      </c>
      <c r="AZ5">
        <v>131.6</v>
      </c>
      <c r="BA5">
        <v>131.9</v>
      </c>
      <c r="BB5">
        <v>129.30000000000001</v>
      </c>
      <c r="BC5">
        <v>128.80000000000001</v>
      </c>
      <c r="BD5">
        <v>127.1</v>
      </c>
      <c r="BE5">
        <v>126.8</v>
      </c>
      <c r="BF5">
        <v>128</v>
      </c>
      <c r="BG5">
        <v>129.80000000000001</v>
      </c>
      <c r="BH5">
        <v>130</v>
      </c>
      <c r="BI5">
        <v>130.5</v>
      </c>
      <c r="BJ5">
        <v>131</v>
      </c>
      <c r="BK5">
        <v>140.5</v>
      </c>
      <c r="BL5">
        <v>144.80000000000001</v>
      </c>
      <c r="BM5">
        <v>143.80000000000001</v>
      </c>
      <c r="BN5">
        <v>140.6</v>
      </c>
      <c r="BO5">
        <v>140</v>
      </c>
      <c r="BP5">
        <v>135.9</v>
      </c>
      <c r="BQ5">
        <v>135.5</v>
      </c>
      <c r="BR5">
        <v>136.69999999999999</v>
      </c>
      <c r="BS5">
        <v>139.30000000000001</v>
      </c>
      <c r="BT5">
        <v>139.1</v>
      </c>
      <c r="BU5">
        <v>136.6</v>
      </c>
      <c r="BV5">
        <v>134.6</v>
      </c>
      <c r="BW5">
        <v>136.69999999999999</v>
      </c>
      <c r="BX5">
        <v>137.4</v>
      </c>
      <c r="BY5">
        <v>138.19999999999999</v>
      </c>
      <c r="BZ5">
        <v>139.1</v>
      </c>
      <c r="CA5">
        <v>138.69999999999999</v>
      </c>
      <c r="CB5">
        <v>134.5</v>
      </c>
      <c r="CC5">
        <v>136.19999999999999</v>
      </c>
      <c r="CD5">
        <v>138.4</v>
      </c>
      <c r="CE5">
        <v>137.1</v>
      </c>
      <c r="CF5">
        <v>138.30000000000001</v>
      </c>
      <c r="CG5">
        <v>141.19999999999999</v>
      </c>
      <c r="CH5">
        <v>143.80000000000001</v>
      </c>
      <c r="CI5">
        <v>149.5</v>
      </c>
      <c r="CJ5">
        <v>153.5</v>
      </c>
      <c r="CK5">
        <v>150.9</v>
      </c>
      <c r="CL5">
        <v>147.6</v>
      </c>
      <c r="CM5">
        <v>146.9</v>
      </c>
      <c r="CN5" t="s">
        <v>32</v>
      </c>
      <c r="CO5">
        <v>149.4</v>
      </c>
      <c r="CP5">
        <v>149.4</v>
      </c>
      <c r="CQ5">
        <v>148.4</v>
      </c>
      <c r="CR5">
        <v>149.5</v>
      </c>
      <c r="CS5">
        <v>159.19999999999999</v>
      </c>
      <c r="CT5">
        <v>171.6</v>
      </c>
      <c r="CU5">
        <v>173.4</v>
      </c>
      <c r="CV5">
        <v>173.4</v>
      </c>
      <c r="CW5">
        <v>168</v>
      </c>
      <c r="CX5">
        <v>163.19999999999999</v>
      </c>
      <c r="CY5">
        <v>163.4</v>
      </c>
      <c r="CZ5">
        <v>168.6</v>
      </c>
      <c r="DA5">
        <v>179.3</v>
      </c>
      <c r="DB5">
        <v>180.4</v>
      </c>
      <c r="DC5">
        <v>176.5</v>
      </c>
      <c r="DD5">
        <v>172</v>
      </c>
      <c r="DE5">
        <v>170.1</v>
      </c>
      <c r="DF5">
        <v>171.5</v>
      </c>
      <c r="DG5">
        <v>176.5</v>
      </c>
      <c r="DH5">
        <v>178</v>
      </c>
      <c r="DI5">
        <v>175.5</v>
      </c>
      <c r="DJ5">
        <v>167.9</v>
      </c>
      <c r="DK5">
        <v>164.5</v>
      </c>
      <c r="DL5">
        <v>161.4</v>
      </c>
      <c r="DM5">
        <v>169.6</v>
      </c>
      <c r="DN5">
        <v>174.3</v>
      </c>
      <c r="DO5">
        <v>168.3</v>
      </c>
      <c r="DP5">
        <v>169</v>
      </c>
      <c r="DQ5">
        <v>170.3</v>
      </c>
      <c r="DR5">
        <v>180.2</v>
      </c>
      <c r="DS5">
        <v>189.1</v>
      </c>
      <c r="DT5">
        <v>192.9</v>
      </c>
      <c r="DU5">
        <v>173.9</v>
      </c>
      <c r="DV5">
        <v>173.9</v>
      </c>
      <c r="DW5">
        <v>167.9</v>
      </c>
      <c r="DX5">
        <v>171</v>
      </c>
    </row>
    <row r="6" spans="1:128" x14ac:dyDescent="0.3">
      <c r="A6" s="171" t="s">
        <v>6</v>
      </c>
      <c r="B6" s="171" t="s">
        <v>66</v>
      </c>
      <c r="C6" s="170" t="s">
        <v>30</v>
      </c>
      <c r="E6">
        <v>104.9</v>
      </c>
      <c r="F6">
        <v>105.4</v>
      </c>
      <c r="G6">
        <v>105.6</v>
      </c>
      <c r="H6">
        <v>106.3</v>
      </c>
      <c r="I6">
        <v>107.5</v>
      </c>
      <c r="J6">
        <v>108.3</v>
      </c>
      <c r="K6">
        <v>109.3</v>
      </c>
      <c r="L6">
        <v>110</v>
      </c>
      <c r="M6">
        <v>111</v>
      </c>
      <c r="N6">
        <v>111.7</v>
      </c>
      <c r="O6">
        <v>112.8</v>
      </c>
      <c r="P6">
        <v>113.8</v>
      </c>
      <c r="Q6">
        <v>114.4</v>
      </c>
      <c r="R6">
        <v>115</v>
      </c>
      <c r="S6">
        <v>116.1</v>
      </c>
      <c r="T6">
        <v>117</v>
      </c>
      <c r="U6">
        <v>118</v>
      </c>
      <c r="V6">
        <v>119.3</v>
      </c>
      <c r="W6">
        <v>120.6</v>
      </c>
      <c r="X6">
        <v>121.9</v>
      </c>
      <c r="Y6">
        <v>122.7</v>
      </c>
      <c r="Z6">
        <v>123.2</v>
      </c>
      <c r="AA6">
        <v>124</v>
      </c>
      <c r="AB6">
        <v>124.2</v>
      </c>
      <c r="AC6">
        <v>124.9</v>
      </c>
      <c r="AD6">
        <v>125.8</v>
      </c>
      <c r="AE6">
        <v>126</v>
      </c>
      <c r="AF6">
        <v>126.8</v>
      </c>
      <c r="AG6">
        <v>127.7</v>
      </c>
      <c r="AH6">
        <v>128.69999999999999</v>
      </c>
      <c r="AI6">
        <v>128.69999999999999</v>
      </c>
      <c r="AJ6">
        <v>128.80000000000001</v>
      </c>
      <c r="AK6">
        <v>129.19999999999999</v>
      </c>
      <c r="AL6">
        <v>129.4</v>
      </c>
      <c r="AM6">
        <v>129.5</v>
      </c>
      <c r="AN6">
        <v>129.80000000000001</v>
      </c>
      <c r="AO6">
        <v>130.30000000000001</v>
      </c>
      <c r="AP6">
        <v>130.69999999999999</v>
      </c>
      <c r="AQ6">
        <v>130.5</v>
      </c>
      <c r="AR6">
        <v>131.30000000000001</v>
      </c>
      <c r="AS6">
        <v>132.4</v>
      </c>
      <c r="AT6">
        <v>133.6</v>
      </c>
      <c r="AU6">
        <v>134.5</v>
      </c>
      <c r="AV6">
        <v>135.30000000000001</v>
      </c>
      <c r="AW6">
        <v>135.5</v>
      </c>
      <c r="AX6">
        <v>136</v>
      </c>
      <c r="AY6">
        <v>136.19999999999999</v>
      </c>
      <c r="AZ6">
        <v>136.30000000000001</v>
      </c>
      <c r="BA6">
        <v>136.69999999999999</v>
      </c>
      <c r="BB6">
        <v>137.19999999999999</v>
      </c>
      <c r="BC6">
        <v>137.19999999999999</v>
      </c>
      <c r="BD6">
        <v>137.69999999999999</v>
      </c>
      <c r="BE6">
        <v>138.19999999999999</v>
      </c>
      <c r="BF6">
        <v>138.6</v>
      </c>
      <c r="BG6">
        <v>139</v>
      </c>
      <c r="BH6">
        <v>139.4</v>
      </c>
      <c r="BI6">
        <v>140.19999999999999</v>
      </c>
      <c r="BJ6">
        <v>141.5</v>
      </c>
      <c r="BK6">
        <v>141.5</v>
      </c>
      <c r="BL6">
        <v>141.9</v>
      </c>
      <c r="BM6">
        <v>142</v>
      </c>
      <c r="BN6">
        <v>141.5</v>
      </c>
      <c r="BO6">
        <v>142</v>
      </c>
      <c r="BP6">
        <v>142.4</v>
      </c>
      <c r="BQ6">
        <v>142.9</v>
      </c>
      <c r="BR6">
        <v>143.19999999999999</v>
      </c>
      <c r="BS6">
        <v>143.4</v>
      </c>
      <c r="BT6">
        <v>143.5</v>
      </c>
      <c r="BU6">
        <v>143.69999999999999</v>
      </c>
      <c r="BV6">
        <v>141.9</v>
      </c>
      <c r="BW6">
        <v>141.9</v>
      </c>
      <c r="BX6">
        <v>142.4</v>
      </c>
      <c r="BY6">
        <v>142.4</v>
      </c>
      <c r="BZ6">
        <v>142.5</v>
      </c>
      <c r="CA6">
        <v>142.5</v>
      </c>
      <c r="CB6">
        <v>142.6</v>
      </c>
      <c r="CC6">
        <v>143.19999999999999</v>
      </c>
      <c r="CD6">
        <v>143.9</v>
      </c>
      <c r="CE6">
        <v>144.6</v>
      </c>
      <c r="CF6">
        <v>145.69999999999999</v>
      </c>
      <c r="CG6">
        <v>146.5</v>
      </c>
      <c r="CH6">
        <v>147.1</v>
      </c>
      <c r="CI6">
        <v>148.69999999999999</v>
      </c>
      <c r="CJ6">
        <v>150.5</v>
      </c>
      <c r="CK6">
        <v>150.9</v>
      </c>
      <c r="CL6">
        <v>151.69999999999999</v>
      </c>
      <c r="CM6">
        <v>155.6</v>
      </c>
      <c r="CN6" t="s">
        <v>32</v>
      </c>
      <c r="CO6">
        <v>153.30000000000001</v>
      </c>
      <c r="CP6">
        <v>153.30000000000001</v>
      </c>
      <c r="CQ6">
        <v>153.30000000000001</v>
      </c>
      <c r="CR6">
        <v>153.4</v>
      </c>
      <c r="CS6">
        <v>153.6</v>
      </c>
      <c r="CT6">
        <v>153.80000000000001</v>
      </c>
      <c r="CU6">
        <v>154</v>
      </c>
      <c r="CV6">
        <v>154</v>
      </c>
      <c r="CW6">
        <v>154.4</v>
      </c>
      <c r="CX6">
        <v>154.5</v>
      </c>
      <c r="CY6">
        <v>155</v>
      </c>
      <c r="CZ6">
        <v>155.80000000000001</v>
      </c>
      <c r="DA6">
        <v>156.1</v>
      </c>
      <c r="DB6">
        <v>157.1</v>
      </c>
      <c r="DC6">
        <v>157.5</v>
      </c>
      <c r="DD6">
        <v>158</v>
      </c>
      <c r="DE6">
        <v>158.4</v>
      </c>
      <c r="DF6">
        <v>159.1</v>
      </c>
      <c r="DG6">
        <v>159.80000000000001</v>
      </c>
      <c r="DH6">
        <v>160.5</v>
      </c>
      <c r="DI6">
        <v>160.69999999999999</v>
      </c>
      <c r="DJ6">
        <v>162</v>
      </c>
      <c r="DK6">
        <v>163.80000000000001</v>
      </c>
      <c r="DL6">
        <v>164.6</v>
      </c>
      <c r="DM6">
        <v>165.4</v>
      </c>
      <c r="DN6">
        <v>166.3</v>
      </c>
      <c r="DO6">
        <v>167.9</v>
      </c>
      <c r="DP6">
        <v>169.5</v>
      </c>
      <c r="DQ6">
        <v>170.9</v>
      </c>
      <c r="DR6">
        <v>172.3</v>
      </c>
      <c r="DS6">
        <v>173.4</v>
      </c>
      <c r="DT6">
        <v>174.3</v>
      </c>
      <c r="DU6">
        <v>177</v>
      </c>
      <c r="DV6">
        <v>177</v>
      </c>
      <c r="DW6">
        <v>178.2</v>
      </c>
      <c r="DX6">
        <v>179.6</v>
      </c>
    </row>
    <row r="7" spans="1:128" x14ac:dyDescent="0.3">
      <c r="A7" s="171" t="s">
        <v>7</v>
      </c>
      <c r="B7" s="171" t="s">
        <v>66</v>
      </c>
      <c r="C7" s="170" t="s">
        <v>30</v>
      </c>
      <c r="E7">
        <v>106.1</v>
      </c>
      <c r="F7">
        <v>106.7</v>
      </c>
      <c r="G7">
        <v>106.2</v>
      </c>
      <c r="H7">
        <v>105.7</v>
      </c>
      <c r="I7">
        <v>105.3</v>
      </c>
      <c r="J7">
        <v>105.9</v>
      </c>
      <c r="K7">
        <v>106.2</v>
      </c>
      <c r="L7">
        <v>106.4</v>
      </c>
      <c r="M7">
        <v>107.4</v>
      </c>
      <c r="N7">
        <v>107.7</v>
      </c>
      <c r="O7">
        <v>108.9</v>
      </c>
      <c r="P7">
        <v>109.5</v>
      </c>
      <c r="Q7">
        <v>109</v>
      </c>
      <c r="R7">
        <v>109</v>
      </c>
      <c r="S7">
        <v>109.3</v>
      </c>
      <c r="T7">
        <v>109.7</v>
      </c>
      <c r="U7">
        <v>110.1</v>
      </c>
      <c r="V7">
        <v>110.3</v>
      </c>
      <c r="W7">
        <v>110.4</v>
      </c>
      <c r="X7">
        <v>110.6</v>
      </c>
      <c r="Y7">
        <v>110.4</v>
      </c>
      <c r="Z7">
        <v>110.5</v>
      </c>
      <c r="AA7">
        <v>110.5</v>
      </c>
      <c r="AB7">
        <v>110.2</v>
      </c>
      <c r="AC7">
        <v>111</v>
      </c>
      <c r="AD7">
        <v>111.5</v>
      </c>
      <c r="AE7">
        <v>111.8</v>
      </c>
      <c r="AF7">
        <v>111.9</v>
      </c>
      <c r="AG7">
        <v>112.5</v>
      </c>
      <c r="AH7">
        <v>114.1</v>
      </c>
      <c r="AI7">
        <v>113.5</v>
      </c>
      <c r="AJ7">
        <v>114</v>
      </c>
      <c r="AK7">
        <v>114.7</v>
      </c>
      <c r="AL7">
        <v>115.8</v>
      </c>
      <c r="AM7">
        <v>117.8</v>
      </c>
      <c r="AN7">
        <v>118.3</v>
      </c>
      <c r="AO7">
        <v>118.9</v>
      </c>
      <c r="AP7">
        <v>118.5</v>
      </c>
      <c r="AQ7">
        <v>118.3</v>
      </c>
      <c r="AR7">
        <v>118.2</v>
      </c>
      <c r="AS7">
        <v>118.2</v>
      </c>
      <c r="AT7">
        <v>118.6</v>
      </c>
      <c r="AU7">
        <v>119.5</v>
      </c>
      <c r="AV7">
        <v>119.9</v>
      </c>
      <c r="AW7">
        <v>120.2</v>
      </c>
      <c r="AX7">
        <v>120.8</v>
      </c>
      <c r="AY7">
        <v>121.1</v>
      </c>
      <c r="AZ7">
        <v>121.6</v>
      </c>
      <c r="BA7">
        <v>122</v>
      </c>
      <c r="BB7">
        <v>122.1</v>
      </c>
      <c r="BC7">
        <v>121.6</v>
      </c>
      <c r="BD7">
        <v>121.3</v>
      </c>
      <c r="BE7">
        <v>120.8</v>
      </c>
      <c r="BF7">
        <v>120.9</v>
      </c>
      <c r="BG7">
        <v>120.9</v>
      </c>
      <c r="BH7">
        <v>120.5</v>
      </c>
      <c r="BI7">
        <v>120.7</v>
      </c>
      <c r="BJ7">
        <v>121.4</v>
      </c>
      <c r="BK7">
        <v>121.6</v>
      </c>
      <c r="BL7">
        <v>123.1</v>
      </c>
      <c r="BM7">
        <v>123.2</v>
      </c>
      <c r="BN7">
        <v>122.9</v>
      </c>
      <c r="BO7">
        <v>123.2</v>
      </c>
      <c r="BP7">
        <v>123.5</v>
      </c>
      <c r="BQ7">
        <v>123.6</v>
      </c>
      <c r="BR7">
        <v>124</v>
      </c>
      <c r="BS7">
        <v>124.1</v>
      </c>
      <c r="BT7">
        <v>125</v>
      </c>
      <c r="BU7">
        <v>124.6</v>
      </c>
      <c r="BV7">
        <v>123.5</v>
      </c>
      <c r="BW7">
        <v>122.8</v>
      </c>
      <c r="BX7">
        <v>124.2</v>
      </c>
      <c r="BY7">
        <v>123.9</v>
      </c>
      <c r="BZ7">
        <v>124.1</v>
      </c>
      <c r="CA7">
        <v>124.1</v>
      </c>
      <c r="CB7">
        <v>124</v>
      </c>
      <c r="CC7">
        <v>124.3</v>
      </c>
      <c r="CD7">
        <v>124.4</v>
      </c>
      <c r="CE7">
        <v>124.7</v>
      </c>
      <c r="CF7">
        <v>125.1</v>
      </c>
      <c r="CG7">
        <v>125.6</v>
      </c>
      <c r="CH7">
        <v>126</v>
      </c>
      <c r="CI7">
        <v>127.5</v>
      </c>
      <c r="CJ7">
        <v>132</v>
      </c>
      <c r="CK7">
        <v>133.69999999999999</v>
      </c>
      <c r="CL7">
        <v>133.30000000000001</v>
      </c>
      <c r="CM7">
        <v>137.1</v>
      </c>
      <c r="CN7" t="s">
        <v>32</v>
      </c>
      <c r="CO7">
        <v>138.19999999999999</v>
      </c>
      <c r="CP7">
        <v>138.19999999999999</v>
      </c>
      <c r="CQ7">
        <v>139.80000000000001</v>
      </c>
      <c r="CR7">
        <v>140.4</v>
      </c>
      <c r="CS7">
        <v>142.6</v>
      </c>
      <c r="CT7">
        <v>145.4</v>
      </c>
      <c r="CU7">
        <v>150</v>
      </c>
      <c r="CV7">
        <v>154.80000000000001</v>
      </c>
      <c r="CW7">
        <v>163</v>
      </c>
      <c r="CX7">
        <v>168.2</v>
      </c>
      <c r="CY7">
        <v>175.2</v>
      </c>
      <c r="CZ7">
        <v>184.4</v>
      </c>
      <c r="DA7">
        <v>190.4</v>
      </c>
      <c r="DB7">
        <v>188.7</v>
      </c>
      <c r="DC7">
        <v>190.9</v>
      </c>
      <c r="DD7">
        <v>195.5</v>
      </c>
      <c r="DE7">
        <v>198.8</v>
      </c>
      <c r="DF7">
        <v>198.4</v>
      </c>
      <c r="DG7">
        <v>195.8</v>
      </c>
      <c r="DH7">
        <v>192.6</v>
      </c>
      <c r="DI7">
        <v>192.6</v>
      </c>
      <c r="DJ7">
        <v>203.1</v>
      </c>
      <c r="DK7">
        <v>207.4</v>
      </c>
      <c r="DL7">
        <v>209.9</v>
      </c>
      <c r="DM7">
        <v>208.1</v>
      </c>
      <c r="DN7">
        <v>202.2</v>
      </c>
      <c r="DO7">
        <v>198.1</v>
      </c>
      <c r="DP7">
        <v>194.1</v>
      </c>
      <c r="DQ7">
        <v>191.6</v>
      </c>
      <c r="DR7">
        <v>194</v>
      </c>
      <c r="DS7">
        <v>193.9</v>
      </c>
      <c r="DT7">
        <v>192.6</v>
      </c>
      <c r="DU7">
        <v>183.4</v>
      </c>
      <c r="DV7">
        <v>183.3</v>
      </c>
      <c r="DW7">
        <v>178.5</v>
      </c>
      <c r="DX7">
        <v>173.3</v>
      </c>
    </row>
    <row r="8" spans="1:128" x14ac:dyDescent="0.3">
      <c r="A8" s="171" t="s">
        <v>8</v>
      </c>
      <c r="B8" s="171" t="s">
        <v>66</v>
      </c>
      <c r="C8" s="170" t="s">
        <v>30</v>
      </c>
      <c r="E8">
        <v>103.9</v>
      </c>
      <c r="F8">
        <v>104</v>
      </c>
      <c r="G8">
        <v>105.7</v>
      </c>
      <c r="H8">
        <v>108.3</v>
      </c>
      <c r="I8">
        <v>108.1</v>
      </c>
      <c r="J8">
        <v>109.2</v>
      </c>
      <c r="K8">
        <v>110.3</v>
      </c>
      <c r="L8">
        <v>110.8</v>
      </c>
      <c r="M8">
        <v>110.9</v>
      </c>
      <c r="N8">
        <v>113.2</v>
      </c>
      <c r="O8">
        <v>116.6</v>
      </c>
      <c r="P8">
        <v>115.5</v>
      </c>
      <c r="Q8">
        <v>115.5</v>
      </c>
      <c r="R8">
        <v>116.6</v>
      </c>
      <c r="S8">
        <v>119.6</v>
      </c>
      <c r="T8">
        <v>125.5</v>
      </c>
      <c r="U8">
        <v>126.3</v>
      </c>
      <c r="V8">
        <v>125.8</v>
      </c>
      <c r="W8">
        <v>129.1</v>
      </c>
      <c r="X8">
        <v>129.69999999999999</v>
      </c>
      <c r="Y8">
        <v>129.80000000000001</v>
      </c>
      <c r="Z8">
        <v>128.9</v>
      </c>
      <c r="AA8">
        <v>128.80000000000001</v>
      </c>
      <c r="AB8">
        <v>128.6</v>
      </c>
      <c r="AC8">
        <v>130.4</v>
      </c>
      <c r="AD8">
        <v>129.4</v>
      </c>
      <c r="AE8">
        <v>130.9</v>
      </c>
      <c r="AF8">
        <v>134.19999999999999</v>
      </c>
      <c r="AG8">
        <v>134.1</v>
      </c>
      <c r="AH8">
        <v>133.19999999999999</v>
      </c>
      <c r="AI8">
        <v>133.30000000000001</v>
      </c>
      <c r="AJ8">
        <v>134.19999999999999</v>
      </c>
      <c r="AK8">
        <v>132.30000000000001</v>
      </c>
      <c r="AL8">
        <v>133.19999999999999</v>
      </c>
      <c r="AM8">
        <v>132.1</v>
      </c>
      <c r="AN8">
        <v>131.6</v>
      </c>
      <c r="AO8">
        <v>131.6</v>
      </c>
      <c r="AP8">
        <v>130.4</v>
      </c>
      <c r="AQ8">
        <v>131.69999999999999</v>
      </c>
      <c r="AR8">
        <v>138.1</v>
      </c>
      <c r="AS8">
        <v>138.1</v>
      </c>
      <c r="AT8">
        <v>137.4</v>
      </c>
      <c r="AU8">
        <v>138.5</v>
      </c>
      <c r="AV8">
        <v>140.19999999999999</v>
      </c>
      <c r="AW8">
        <v>139.19999999999999</v>
      </c>
      <c r="AX8">
        <v>138.4</v>
      </c>
      <c r="AY8">
        <v>136.9</v>
      </c>
      <c r="AZ8">
        <v>135.6</v>
      </c>
      <c r="BA8">
        <v>136</v>
      </c>
      <c r="BB8">
        <v>138.69999999999999</v>
      </c>
      <c r="BC8">
        <v>139.69999999999999</v>
      </c>
      <c r="BD8">
        <v>141.80000000000001</v>
      </c>
      <c r="BE8">
        <v>140.19999999999999</v>
      </c>
      <c r="BF8">
        <v>140.9</v>
      </c>
      <c r="BG8">
        <v>143.9</v>
      </c>
      <c r="BH8">
        <v>148</v>
      </c>
      <c r="BI8">
        <v>147.80000000000001</v>
      </c>
      <c r="BJ8">
        <v>146.69999999999999</v>
      </c>
      <c r="BK8">
        <v>147.30000000000001</v>
      </c>
      <c r="BL8">
        <v>147.19999999999999</v>
      </c>
      <c r="BM8">
        <v>147.9</v>
      </c>
      <c r="BN8">
        <v>149.4</v>
      </c>
      <c r="BO8">
        <v>152.9</v>
      </c>
      <c r="BP8">
        <v>156.4</v>
      </c>
      <c r="BQ8">
        <v>157.5</v>
      </c>
      <c r="BR8">
        <v>154.1</v>
      </c>
      <c r="BS8">
        <v>153.30000000000001</v>
      </c>
      <c r="BT8">
        <v>154.4</v>
      </c>
      <c r="BU8">
        <v>150.1</v>
      </c>
      <c r="BV8">
        <v>144.5</v>
      </c>
      <c r="BW8">
        <v>143.9</v>
      </c>
      <c r="BX8">
        <v>140.19999999999999</v>
      </c>
      <c r="BY8">
        <v>135.5</v>
      </c>
      <c r="BZ8">
        <v>135.80000000000001</v>
      </c>
      <c r="CA8">
        <v>136.1</v>
      </c>
      <c r="CB8">
        <v>143.69999999999999</v>
      </c>
      <c r="CC8">
        <v>143.30000000000001</v>
      </c>
      <c r="CD8">
        <v>146.4</v>
      </c>
      <c r="CE8">
        <v>145.5</v>
      </c>
      <c r="CF8">
        <v>143.80000000000001</v>
      </c>
      <c r="CG8">
        <v>145.69999999999999</v>
      </c>
      <c r="CH8">
        <v>146.19999999999999</v>
      </c>
      <c r="CI8">
        <v>144.30000000000001</v>
      </c>
      <c r="CJ8">
        <v>142.19999999999999</v>
      </c>
      <c r="CK8">
        <v>140.69999999999999</v>
      </c>
      <c r="CL8">
        <v>141.80000000000001</v>
      </c>
      <c r="CM8">
        <v>147.30000000000001</v>
      </c>
      <c r="CN8" t="s">
        <v>32</v>
      </c>
      <c r="CO8">
        <v>143.19999999999999</v>
      </c>
      <c r="CP8">
        <v>143.19999999999999</v>
      </c>
      <c r="CQ8">
        <v>146.9</v>
      </c>
      <c r="CR8">
        <v>147</v>
      </c>
      <c r="CS8">
        <v>147.19999999999999</v>
      </c>
      <c r="CT8">
        <v>146.5</v>
      </c>
      <c r="CU8">
        <v>145.9</v>
      </c>
      <c r="CV8">
        <v>147</v>
      </c>
      <c r="CW8">
        <v>147.80000000000001</v>
      </c>
      <c r="CX8">
        <v>150.5</v>
      </c>
      <c r="CY8">
        <v>160.6</v>
      </c>
      <c r="CZ8">
        <v>162.30000000000001</v>
      </c>
      <c r="DA8">
        <v>158.6</v>
      </c>
      <c r="DB8">
        <v>157.69999999999999</v>
      </c>
      <c r="DC8">
        <v>155.69999999999999</v>
      </c>
      <c r="DD8">
        <v>152.69999999999999</v>
      </c>
      <c r="DE8">
        <v>152.6</v>
      </c>
      <c r="DF8">
        <v>153.19999999999999</v>
      </c>
      <c r="DG8">
        <v>152</v>
      </c>
      <c r="DH8">
        <v>151.19999999999999</v>
      </c>
      <c r="DI8">
        <v>151.4</v>
      </c>
      <c r="DJ8">
        <v>155.9</v>
      </c>
      <c r="DK8">
        <v>169.7</v>
      </c>
      <c r="DL8">
        <v>168</v>
      </c>
      <c r="DM8">
        <v>165.8</v>
      </c>
      <c r="DN8">
        <v>169.6</v>
      </c>
      <c r="DO8">
        <v>169.2</v>
      </c>
      <c r="DP8">
        <v>164.1</v>
      </c>
      <c r="DQ8">
        <v>162.19999999999999</v>
      </c>
      <c r="DR8">
        <v>159.1</v>
      </c>
      <c r="DS8">
        <v>156.69999999999999</v>
      </c>
      <c r="DT8">
        <v>156.30000000000001</v>
      </c>
      <c r="DU8">
        <v>167.2</v>
      </c>
      <c r="DV8">
        <v>167.2</v>
      </c>
      <c r="DW8">
        <v>173.7</v>
      </c>
      <c r="DX8">
        <v>169</v>
      </c>
    </row>
    <row r="9" spans="1:128" x14ac:dyDescent="0.3">
      <c r="A9" s="171" t="s">
        <v>9</v>
      </c>
      <c r="B9" s="171" t="s">
        <v>66</v>
      </c>
      <c r="C9" s="170" t="s">
        <v>30</v>
      </c>
      <c r="E9">
        <v>101.9</v>
      </c>
      <c r="F9">
        <v>102.4</v>
      </c>
      <c r="G9">
        <v>101.4</v>
      </c>
      <c r="H9">
        <v>103.4</v>
      </c>
      <c r="I9">
        <v>107.3</v>
      </c>
      <c r="J9">
        <v>118</v>
      </c>
      <c r="K9">
        <v>129.19999999999999</v>
      </c>
      <c r="L9">
        <v>138.9</v>
      </c>
      <c r="M9">
        <v>154</v>
      </c>
      <c r="N9">
        <v>164.9</v>
      </c>
      <c r="O9">
        <v>178.1</v>
      </c>
      <c r="P9">
        <v>145.69999999999999</v>
      </c>
      <c r="Q9">
        <v>123.9</v>
      </c>
      <c r="R9">
        <v>116</v>
      </c>
      <c r="S9">
        <v>117.9</v>
      </c>
      <c r="T9">
        <v>120.5</v>
      </c>
      <c r="U9">
        <v>123.9</v>
      </c>
      <c r="V9">
        <v>129.30000000000001</v>
      </c>
      <c r="W9">
        <v>150.1</v>
      </c>
      <c r="X9">
        <v>161.1</v>
      </c>
      <c r="Y9">
        <v>158.80000000000001</v>
      </c>
      <c r="Z9">
        <v>155.30000000000001</v>
      </c>
      <c r="AA9">
        <v>152</v>
      </c>
      <c r="AB9">
        <v>140.30000000000001</v>
      </c>
      <c r="AC9">
        <v>132.30000000000001</v>
      </c>
      <c r="AD9">
        <v>128.19999999999999</v>
      </c>
      <c r="AE9">
        <v>128</v>
      </c>
      <c r="AF9">
        <v>127.5</v>
      </c>
      <c r="AG9">
        <v>128.5</v>
      </c>
      <c r="AH9">
        <v>135.19999999999999</v>
      </c>
      <c r="AI9">
        <v>140.80000000000001</v>
      </c>
      <c r="AJ9">
        <v>153.6</v>
      </c>
      <c r="AK9">
        <v>158.9</v>
      </c>
      <c r="AL9">
        <v>157.69999999999999</v>
      </c>
      <c r="AM9">
        <v>155.19999999999999</v>
      </c>
      <c r="AN9">
        <v>145.5</v>
      </c>
      <c r="AO9">
        <v>140.1</v>
      </c>
      <c r="AP9">
        <v>130.9</v>
      </c>
      <c r="AQ9">
        <v>130.69999999999999</v>
      </c>
      <c r="AR9">
        <v>134.1</v>
      </c>
      <c r="AS9">
        <v>141.80000000000001</v>
      </c>
      <c r="AT9">
        <v>152.5</v>
      </c>
      <c r="AU9">
        <v>158.19999999999999</v>
      </c>
      <c r="AV9">
        <v>156.9</v>
      </c>
      <c r="AW9">
        <v>149.5</v>
      </c>
      <c r="AX9">
        <v>149.19999999999999</v>
      </c>
      <c r="AY9">
        <v>141.80000000000001</v>
      </c>
      <c r="AZ9">
        <v>127.5</v>
      </c>
      <c r="BA9">
        <v>119.8</v>
      </c>
      <c r="BB9">
        <v>119.1</v>
      </c>
      <c r="BC9">
        <v>119.7</v>
      </c>
      <c r="BD9">
        <v>121.5</v>
      </c>
      <c r="BE9">
        <v>123.8</v>
      </c>
      <c r="BF9">
        <v>128.80000000000001</v>
      </c>
      <c r="BG9">
        <v>151.5</v>
      </c>
      <c r="BH9">
        <v>162.9</v>
      </c>
      <c r="BI9">
        <v>154.5</v>
      </c>
      <c r="BJ9">
        <v>157.1</v>
      </c>
      <c r="BK9">
        <v>168</v>
      </c>
      <c r="BL9">
        <v>161</v>
      </c>
      <c r="BM9">
        <v>152.1</v>
      </c>
      <c r="BN9">
        <v>142.4</v>
      </c>
      <c r="BO9">
        <v>138</v>
      </c>
      <c r="BP9">
        <v>135.1</v>
      </c>
      <c r="BQ9">
        <v>137.80000000000001</v>
      </c>
      <c r="BR9">
        <v>143.5</v>
      </c>
      <c r="BS9">
        <v>154.19999999999999</v>
      </c>
      <c r="BT9">
        <v>156.30000000000001</v>
      </c>
      <c r="BU9">
        <v>149.4</v>
      </c>
      <c r="BV9">
        <v>147.6</v>
      </c>
      <c r="BW9">
        <v>147.5</v>
      </c>
      <c r="BX9">
        <v>136.6</v>
      </c>
      <c r="BY9">
        <v>131.69999999999999</v>
      </c>
      <c r="BZ9">
        <v>128.69999999999999</v>
      </c>
      <c r="CA9">
        <v>128.19999999999999</v>
      </c>
      <c r="CB9">
        <v>133.4</v>
      </c>
      <c r="CC9">
        <v>140.6</v>
      </c>
      <c r="CD9">
        <v>150.1</v>
      </c>
      <c r="CE9">
        <v>156.19999999999999</v>
      </c>
      <c r="CF9">
        <v>163.4</v>
      </c>
      <c r="CG9">
        <v>178.8</v>
      </c>
      <c r="CH9">
        <v>191.4</v>
      </c>
      <c r="CI9">
        <v>209.5</v>
      </c>
      <c r="CJ9">
        <v>191.5</v>
      </c>
      <c r="CK9">
        <v>165.1</v>
      </c>
      <c r="CL9">
        <v>152.30000000000001</v>
      </c>
      <c r="CM9">
        <v>162.69999999999999</v>
      </c>
      <c r="CN9" t="s">
        <v>32</v>
      </c>
      <c r="CO9">
        <v>148.9</v>
      </c>
      <c r="CP9">
        <v>148.9</v>
      </c>
      <c r="CQ9">
        <v>171</v>
      </c>
      <c r="CR9">
        <v>178.8</v>
      </c>
      <c r="CS9">
        <v>200.6</v>
      </c>
      <c r="CT9">
        <v>222.2</v>
      </c>
      <c r="CU9">
        <v>225.2</v>
      </c>
      <c r="CV9">
        <v>187.8</v>
      </c>
      <c r="CW9">
        <v>149.69999999999999</v>
      </c>
      <c r="CX9">
        <v>141</v>
      </c>
      <c r="CY9">
        <v>135.1</v>
      </c>
      <c r="CZ9">
        <v>138.4</v>
      </c>
      <c r="DA9">
        <v>144.69999999999999</v>
      </c>
      <c r="DB9">
        <v>152.80000000000001</v>
      </c>
      <c r="DC9">
        <v>153.9</v>
      </c>
      <c r="DD9">
        <v>151.4</v>
      </c>
      <c r="DE9">
        <v>170.4</v>
      </c>
      <c r="DF9">
        <v>183.9</v>
      </c>
      <c r="DG9">
        <v>172.3</v>
      </c>
      <c r="DH9">
        <v>159.19999999999999</v>
      </c>
      <c r="DI9">
        <v>155.19999999999999</v>
      </c>
      <c r="DJ9">
        <v>155.80000000000001</v>
      </c>
      <c r="DK9">
        <v>153.6</v>
      </c>
      <c r="DL9">
        <v>160.4</v>
      </c>
      <c r="DM9">
        <v>167.3</v>
      </c>
      <c r="DN9">
        <v>168.6</v>
      </c>
      <c r="DO9">
        <v>173.1</v>
      </c>
      <c r="DP9">
        <v>176.9</v>
      </c>
      <c r="DQ9">
        <v>184.8</v>
      </c>
      <c r="DR9">
        <v>171.6</v>
      </c>
      <c r="DS9">
        <v>150.19999999999999</v>
      </c>
      <c r="DT9">
        <v>142.9</v>
      </c>
      <c r="DU9">
        <v>140.9</v>
      </c>
      <c r="DV9">
        <v>140.9</v>
      </c>
      <c r="DW9">
        <v>142.80000000000001</v>
      </c>
      <c r="DX9">
        <v>148.69999999999999</v>
      </c>
    </row>
    <row r="10" spans="1:128" x14ac:dyDescent="0.3">
      <c r="A10" s="171" t="s">
        <v>10</v>
      </c>
      <c r="B10" s="171" t="s">
        <v>66</v>
      </c>
      <c r="C10" s="170" t="s">
        <v>30</v>
      </c>
      <c r="E10">
        <v>106.1</v>
      </c>
      <c r="F10">
        <v>105.9</v>
      </c>
      <c r="G10">
        <v>105.7</v>
      </c>
      <c r="H10">
        <v>105.7</v>
      </c>
      <c r="I10">
        <v>106.1</v>
      </c>
      <c r="J10">
        <v>106.8</v>
      </c>
      <c r="K10">
        <v>107.1</v>
      </c>
      <c r="L10">
        <v>107.4</v>
      </c>
      <c r="M10">
        <v>108.1</v>
      </c>
      <c r="N10">
        <v>108.3</v>
      </c>
      <c r="O10">
        <v>109.1</v>
      </c>
      <c r="P10">
        <v>109.5</v>
      </c>
      <c r="Q10">
        <v>109.6</v>
      </c>
      <c r="R10">
        <v>109.8</v>
      </c>
      <c r="S10">
        <v>110.2</v>
      </c>
      <c r="T10">
        <v>111</v>
      </c>
      <c r="U10">
        <v>111.5</v>
      </c>
      <c r="V10">
        <v>112.2</v>
      </c>
      <c r="W10">
        <v>113.2</v>
      </c>
      <c r="X10">
        <v>114.1</v>
      </c>
      <c r="Y10">
        <v>115</v>
      </c>
      <c r="Z10">
        <v>115.5</v>
      </c>
      <c r="AA10">
        <v>116.2</v>
      </c>
      <c r="AB10">
        <v>116.3</v>
      </c>
      <c r="AC10">
        <v>117.2</v>
      </c>
      <c r="AD10">
        <v>118.8</v>
      </c>
      <c r="AE10">
        <v>119.9</v>
      </c>
      <c r="AF10">
        <v>121.5</v>
      </c>
      <c r="AG10">
        <v>124.3</v>
      </c>
      <c r="AH10">
        <v>131.9</v>
      </c>
      <c r="AI10">
        <v>133.80000000000001</v>
      </c>
      <c r="AJ10">
        <v>137.9</v>
      </c>
      <c r="AK10">
        <v>142.1</v>
      </c>
      <c r="AL10">
        <v>154.19999999999999</v>
      </c>
      <c r="AM10">
        <v>160.80000000000001</v>
      </c>
      <c r="AN10">
        <v>162.1</v>
      </c>
      <c r="AO10">
        <v>163.80000000000001</v>
      </c>
      <c r="AP10">
        <v>162.80000000000001</v>
      </c>
      <c r="AQ10">
        <v>161.19999999999999</v>
      </c>
      <c r="AR10">
        <v>162.69999999999999</v>
      </c>
      <c r="AS10">
        <v>166</v>
      </c>
      <c r="AT10">
        <v>169.2</v>
      </c>
      <c r="AU10">
        <v>171.8</v>
      </c>
      <c r="AV10">
        <v>172.2</v>
      </c>
      <c r="AW10">
        <v>170.4</v>
      </c>
      <c r="AX10">
        <v>170.2</v>
      </c>
      <c r="AY10">
        <v>170</v>
      </c>
      <c r="AZ10">
        <v>167.9</v>
      </c>
      <c r="BA10">
        <v>161.69999999999999</v>
      </c>
      <c r="BB10">
        <v>156.9</v>
      </c>
      <c r="BC10">
        <v>148</v>
      </c>
      <c r="BD10">
        <v>144.5</v>
      </c>
      <c r="BE10">
        <v>141.80000000000001</v>
      </c>
      <c r="BF10">
        <v>140.19999999999999</v>
      </c>
      <c r="BG10">
        <v>138.1</v>
      </c>
      <c r="BH10">
        <v>137.4</v>
      </c>
      <c r="BI10">
        <v>137.1</v>
      </c>
      <c r="BJ10">
        <v>136.4</v>
      </c>
      <c r="BK10">
        <v>135.80000000000001</v>
      </c>
      <c r="BL10">
        <v>133.80000000000001</v>
      </c>
      <c r="BM10">
        <v>131.80000000000001</v>
      </c>
      <c r="BN10">
        <v>130.19999999999999</v>
      </c>
      <c r="BO10">
        <v>129.30000000000001</v>
      </c>
      <c r="BP10">
        <v>128.4</v>
      </c>
      <c r="BQ10">
        <v>127.2</v>
      </c>
      <c r="BR10">
        <v>126</v>
      </c>
      <c r="BS10">
        <v>126.4</v>
      </c>
      <c r="BT10">
        <v>126.8</v>
      </c>
      <c r="BU10">
        <v>125.4</v>
      </c>
      <c r="BV10">
        <v>121.4</v>
      </c>
      <c r="BW10">
        <v>121</v>
      </c>
      <c r="BX10">
        <v>120.9</v>
      </c>
      <c r="BY10">
        <v>121.3</v>
      </c>
      <c r="BZ10">
        <v>121.5</v>
      </c>
      <c r="CA10">
        <v>122.3</v>
      </c>
      <c r="CB10">
        <v>125.1</v>
      </c>
      <c r="CC10">
        <v>128.69999999999999</v>
      </c>
      <c r="CD10">
        <v>130.6</v>
      </c>
      <c r="CE10">
        <v>131.5</v>
      </c>
      <c r="CF10">
        <v>132.19999999999999</v>
      </c>
      <c r="CG10">
        <v>133.1</v>
      </c>
      <c r="CH10">
        <v>136.19999999999999</v>
      </c>
      <c r="CI10">
        <v>138.80000000000001</v>
      </c>
      <c r="CJ10">
        <v>141.1</v>
      </c>
      <c r="CK10">
        <v>141.80000000000001</v>
      </c>
      <c r="CL10">
        <v>141.80000000000001</v>
      </c>
      <c r="CM10">
        <v>150.19999999999999</v>
      </c>
      <c r="CN10" t="s">
        <v>32</v>
      </c>
      <c r="CO10">
        <v>150.30000000000001</v>
      </c>
      <c r="CP10">
        <v>150.30000000000001</v>
      </c>
      <c r="CQ10">
        <v>149.9</v>
      </c>
      <c r="CR10">
        <v>149.30000000000001</v>
      </c>
      <c r="CS10">
        <v>150.30000000000001</v>
      </c>
      <c r="CT10">
        <v>155.9</v>
      </c>
      <c r="CU10">
        <v>159.5</v>
      </c>
      <c r="CV10">
        <v>159.5</v>
      </c>
      <c r="CW10">
        <v>158.30000000000001</v>
      </c>
      <c r="CX10">
        <v>159.19999999999999</v>
      </c>
      <c r="CY10">
        <v>161.1</v>
      </c>
      <c r="CZ10">
        <v>165.1</v>
      </c>
      <c r="DA10">
        <v>165.5</v>
      </c>
      <c r="DB10">
        <v>163.6</v>
      </c>
      <c r="DC10">
        <v>162.80000000000001</v>
      </c>
      <c r="DD10">
        <v>163.9</v>
      </c>
      <c r="DE10">
        <v>165.2</v>
      </c>
      <c r="DF10">
        <v>165.4</v>
      </c>
      <c r="DG10">
        <v>164.5</v>
      </c>
      <c r="DH10">
        <v>164</v>
      </c>
      <c r="DI10">
        <v>163.9</v>
      </c>
      <c r="DJ10">
        <v>164.2</v>
      </c>
      <c r="DK10">
        <v>165.1</v>
      </c>
      <c r="DL10">
        <v>165</v>
      </c>
      <c r="DM10">
        <v>164.6</v>
      </c>
      <c r="DN10">
        <v>164.4</v>
      </c>
      <c r="DO10">
        <v>167.1</v>
      </c>
      <c r="DP10">
        <v>169</v>
      </c>
      <c r="DQ10">
        <v>169.7</v>
      </c>
      <c r="DR10">
        <v>170.2</v>
      </c>
      <c r="DS10">
        <v>170.5</v>
      </c>
      <c r="DT10">
        <v>170.7</v>
      </c>
      <c r="DU10">
        <v>170.4</v>
      </c>
      <c r="DV10">
        <v>170.5</v>
      </c>
      <c r="DW10">
        <v>172.8</v>
      </c>
      <c r="DX10">
        <v>174.9</v>
      </c>
    </row>
    <row r="11" spans="1:128" x14ac:dyDescent="0.3">
      <c r="A11" s="171" t="s">
        <v>11</v>
      </c>
      <c r="B11" s="171" t="s">
        <v>66</v>
      </c>
      <c r="C11" s="170" t="s">
        <v>30</v>
      </c>
      <c r="E11">
        <v>106.8</v>
      </c>
      <c r="F11">
        <v>105.7</v>
      </c>
      <c r="G11">
        <v>105</v>
      </c>
      <c r="H11">
        <v>104.2</v>
      </c>
      <c r="I11">
        <v>103.7</v>
      </c>
      <c r="J11">
        <v>104.1</v>
      </c>
      <c r="K11">
        <v>104.3</v>
      </c>
      <c r="L11">
        <v>104.1</v>
      </c>
      <c r="M11">
        <v>104.2</v>
      </c>
      <c r="N11">
        <v>103.9</v>
      </c>
      <c r="O11">
        <v>103.6</v>
      </c>
      <c r="P11">
        <v>102.9</v>
      </c>
      <c r="Q11">
        <v>101.8</v>
      </c>
      <c r="R11">
        <v>101.1</v>
      </c>
      <c r="S11">
        <v>101.2</v>
      </c>
      <c r="T11">
        <v>102.6</v>
      </c>
      <c r="U11">
        <v>103.5</v>
      </c>
      <c r="V11">
        <v>103.6</v>
      </c>
      <c r="W11">
        <v>104.8</v>
      </c>
      <c r="X11">
        <v>105.1</v>
      </c>
      <c r="Y11">
        <v>104.7</v>
      </c>
      <c r="Z11">
        <v>104</v>
      </c>
      <c r="AA11">
        <v>103.3</v>
      </c>
      <c r="AB11">
        <v>102</v>
      </c>
      <c r="AC11">
        <v>100.5</v>
      </c>
      <c r="AD11">
        <v>100</v>
      </c>
      <c r="AE11">
        <v>98.9</v>
      </c>
      <c r="AF11">
        <v>97.8</v>
      </c>
      <c r="AG11">
        <v>97.6</v>
      </c>
      <c r="AH11">
        <v>96.3</v>
      </c>
      <c r="AI11">
        <v>94.1</v>
      </c>
      <c r="AJ11">
        <v>93.1</v>
      </c>
      <c r="AK11">
        <v>92.5</v>
      </c>
      <c r="AL11">
        <v>93.7</v>
      </c>
      <c r="AM11">
        <v>94.5</v>
      </c>
      <c r="AN11">
        <v>95.4</v>
      </c>
      <c r="AO11">
        <v>97.7</v>
      </c>
      <c r="AP11">
        <v>98.7</v>
      </c>
      <c r="AQ11">
        <v>100.4</v>
      </c>
      <c r="AR11">
        <v>105</v>
      </c>
      <c r="AS11">
        <v>107.5</v>
      </c>
      <c r="AT11">
        <v>108.8</v>
      </c>
      <c r="AU11">
        <v>110.3</v>
      </c>
      <c r="AV11">
        <v>112.1</v>
      </c>
      <c r="AW11">
        <v>113.1</v>
      </c>
      <c r="AX11">
        <v>113.4</v>
      </c>
      <c r="AY11">
        <v>113.4</v>
      </c>
      <c r="AZ11">
        <v>113.8</v>
      </c>
      <c r="BA11">
        <v>114.8</v>
      </c>
      <c r="BB11">
        <v>116.2</v>
      </c>
      <c r="BC11">
        <v>116.9</v>
      </c>
      <c r="BD11">
        <v>117.4</v>
      </c>
      <c r="BE11">
        <v>118.6</v>
      </c>
      <c r="BF11">
        <v>118.9</v>
      </c>
      <c r="BG11">
        <v>120</v>
      </c>
      <c r="BH11">
        <v>120.8</v>
      </c>
      <c r="BI11">
        <v>121</v>
      </c>
      <c r="BJ11">
        <v>121.4</v>
      </c>
      <c r="BK11">
        <v>122.5</v>
      </c>
      <c r="BL11">
        <v>121.9</v>
      </c>
      <c r="BM11">
        <v>119.5</v>
      </c>
      <c r="BN11">
        <v>117.9</v>
      </c>
      <c r="BO11">
        <v>117.1</v>
      </c>
      <c r="BP11">
        <v>115.2</v>
      </c>
      <c r="BQ11">
        <v>111.8</v>
      </c>
      <c r="BR11">
        <v>112.4</v>
      </c>
      <c r="BS11">
        <v>114.3</v>
      </c>
      <c r="BT11">
        <v>115.4</v>
      </c>
      <c r="BU11">
        <v>114.4</v>
      </c>
      <c r="BV11">
        <v>112.3</v>
      </c>
      <c r="BW11">
        <v>111.6</v>
      </c>
      <c r="BX11">
        <v>109.9</v>
      </c>
      <c r="BY11">
        <v>108.4</v>
      </c>
      <c r="BZ11">
        <v>108.3</v>
      </c>
      <c r="CA11">
        <v>108.3</v>
      </c>
      <c r="CB11">
        <v>109.3</v>
      </c>
      <c r="CC11">
        <v>110.6</v>
      </c>
      <c r="CD11">
        <v>110.8</v>
      </c>
      <c r="CE11">
        <v>111.7</v>
      </c>
      <c r="CF11">
        <v>112.8</v>
      </c>
      <c r="CG11">
        <v>113.6</v>
      </c>
      <c r="CH11">
        <v>113.8</v>
      </c>
      <c r="CI11">
        <v>113.6</v>
      </c>
      <c r="CJ11">
        <v>113.8</v>
      </c>
      <c r="CK11">
        <v>113.1</v>
      </c>
      <c r="CL11">
        <v>112.6</v>
      </c>
      <c r="CM11">
        <v>119.8</v>
      </c>
      <c r="CN11" t="s">
        <v>32</v>
      </c>
      <c r="CO11">
        <v>113.2</v>
      </c>
      <c r="CP11">
        <v>113.2</v>
      </c>
      <c r="CQ11">
        <v>114.2</v>
      </c>
      <c r="CR11">
        <v>115.1</v>
      </c>
      <c r="CS11">
        <v>115.3</v>
      </c>
      <c r="CT11">
        <v>114.9</v>
      </c>
      <c r="CU11">
        <v>114.4</v>
      </c>
      <c r="CV11">
        <v>113.8</v>
      </c>
      <c r="CW11">
        <v>111.8</v>
      </c>
      <c r="CX11">
        <v>111.7</v>
      </c>
      <c r="CY11">
        <v>112.2</v>
      </c>
      <c r="CZ11">
        <v>114.3</v>
      </c>
      <c r="DA11">
        <v>114.6</v>
      </c>
      <c r="DB11">
        <v>113.9</v>
      </c>
      <c r="DC11">
        <v>115.2</v>
      </c>
      <c r="DD11">
        <v>119.3</v>
      </c>
      <c r="DE11">
        <v>121.6</v>
      </c>
      <c r="DF11">
        <v>122.1</v>
      </c>
      <c r="DG11">
        <v>120.6</v>
      </c>
      <c r="DH11">
        <v>119.3</v>
      </c>
      <c r="DI11">
        <v>118.1</v>
      </c>
      <c r="DJ11">
        <v>118.1</v>
      </c>
      <c r="DK11">
        <v>118.2</v>
      </c>
      <c r="DL11">
        <v>118.9</v>
      </c>
      <c r="DM11">
        <v>119.1</v>
      </c>
      <c r="DN11">
        <v>119.2</v>
      </c>
      <c r="DO11">
        <v>120.2</v>
      </c>
      <c r="DP11">
        <v>120.8</v>
      </c>
      <c r="DQ11">
        <v>121.1</v>
      </c>
      <c r="DR11">
        <v>121.5</v>
      </c>
      <c r="DS11">
        <v>121.2</v>
      </c>
      <c r="DT11">
        <v>120.3</v>
      </c>
      <c r="DU11">
        <v>119.1</v>
      </c>
      <c r="DV11">
        <v>119.1</v>
      </c>
      <c r="DW11">
        <v>120.4</v>
      </c>
      <c r="DX11">
        <v>121.9</v>
      </c>
    </row>
    <row r="12" spans="1:128" x14ac:dyDescent="0.3">
      <c r="A12" s="171" t="s">
        <v>12</v>
      </c>
      <c r="B12" s="171" t="s">
        <v>66</v>
      </c>
      <c r="C12" s="170" t="s">
        <v>30</v>
      </c>
      <c r="E12">
        <v>103.1</v>
      </c>
      <c r="F12">
        <v>103.1</v>
      </c>
      <c r="G12">
        <v>103.3</v>
      </c>
      <c r="H12">
        <v>103.2</v>
      </c>
      <c r="I12">
        <v>104</v>
      </c>
      <c r="J12">
        <v>105.4</v>
      </c>
      <c r="K12">
        <v>106.4</v>
      </c>
      <c r="L12">
        <v>106.9</v>
      </c>
      <c r="M12">
        <v>107.9</v>
      </c>
      <c r="N12">
        <v>108.2</v>
      </c>
      <c r="O12">
        <v>109</v>
      </c>
      <c r="P12">
        <v>109.8</v>
      </c>
      <c r="Q12">
        <v>110.2</v>
      </c>
      <c r="R12">
        <v>110.4</v>
      </c>
      <c r="S12">
        <v>110.7</v>
      </c>
      <c r="T12">
        <v>111.2</v>
      </c>
      <c r="U12">
        <v>111.6</v>
      </c>
      <c r="V12">
        <v>112.3</v>
      </c>
      <c r="W12">
        <v>113.3</v>
      </c>
      <c r="X12">
        <v>114.6</v>
      </c>
      <c r="Y12">
        <v>114.9</v>
      </c>
      <c r="Z12">
        <v>115.3</v>
      </c>
      <c r="AA12">
        <v>115.8</v>
      </c>
      <c r="AB12">
        <v>116</v>
      </c>
      <c r="AC12">
        <v>117.2</v>
      </c>
      <c r="AD12">
        <v>118.6</v>
      </c>
      <c r="AE12">
        <v>119.4</v>
      </c>
      <c r="AF12">
        <v>119.8</v>
      </c>
      <c r="AG12">
        <v>120.7</v>
      </c>
      <c r="AH12">
        <v>123</v>
      </c>
      <c r="AI12">
        <v>123.4</v>
      </c>
      <c r="AJ12">
        <v>123.9</v>
      </c>
      <c r="AK12">
        <v>125.4</v>
      </c>
      <c r="AL12">
        <v>126.6</v>
      </c>
      <c r="AM12">
        <v>128.30000000000001</v>
      </c>
      <c r="AN12">
        <v>128.9</v>
      </c>
      <c r="AO12">
        <v>129.6</v>
      </c>
      <c r="AP12">
        <v>130.6</v>
      </c>
      <c r="AQ12">
        <v>130.80000000000001</v>
      </c>
      <c r="AR12">
        <v>131.4</v>
      </c>
      <c r="AS12">
        <v>132.19999999999999</v>
      </c>
      <c r="AT12">
        <v>133.1</v>
      </c>
      <c r="AU12">
        <v>134.30000000000001</v>
      </c>
      <c r="AV12">
        <v>134.9</v>
      </c>
      <c r="AW12">
        <v>135.80000000000001</v>
      </c>
      <c r="AX12">
        <v>136.30000000000001</v>
      </c>
      <c r="AY12">
        <v>136.80000000000001</v>
      </c>
      <c r="AZ12">
        <v>137.5</v>
      </c>
      <c r="BA12">
        <v>136.9</v>
      </c>
      <c r="BB12">
        <v>136</v>
      </c>
      <c r="BC12">
        <v>135.6</v>
      </c>
      <c r="BD12">
        <v>134.1</v>
      </c>
      <c r="BE12">
        <v>134</v>
      </c>
      <c r="BF12">
        <v>133.5</v>
      </c>
      <c r="BG12">
        <v>133.9</v>
      </c>
      <c r="BH12">
        <v>134.69999999999999</v>
      </c>
      <c r="BI12">
        <v>134.69999999999999</v>
      </c>
      <c r="BJ12">
        <v>135.6</v>
      </c>
      <c r="BK12">
        <v>136</v>
      </c>
      <c r="BL12">
        <v>135.80000000000001</v>
      </c>
      <c r="BM12">
        <v>136</v>
      </c>
      <c r="BN12">
        <v>135.6</v>
      </c>
      <c r="BO12">
        <v>136.30000000000001</v>
      </c>
      <c r="BP12">
        <v>137.19999999999999</v>
      </c>
      <c r="BQ12">
        <v>137.4</v>
      </c>
      <c r="BR12">
        <v>137.6</v>
      </c>
      <c r="BS12">
        <v>138.19999999999999</v>
      </c>
      <c r="BT12">
        <v>138.6</v>
      </c>
      <c r="BU12">
        <v>138.69999999999999</v>
      </c>
      <c r="BV12">
        <v>139.5</v>
      </c>
      <c r="BW12">
        <v>140.6</v>
      </c>
      <c r="BX12">
        <v>140.19999999999999</v>
      </c>
      <c r="BY12">
        <v>138.9</v>
      </c>
      <c r="BZ12">
        <v>139.19999999999999</v>
      </c>
      <c r="CA12">
        <v>138.9</v>
      </c>
      <c r="CB12">
        <v>139.30000000000001</v>
      </c>
      <c r="CC12">
        <v>140.4</v>
      </c>
      <c r="CD12">
        <v>141.69999999999999</v>
      </c>
      <c r="CE12">
        <v>142.69999999999999</v>
      </c>
      <c r="CF12">
        <v>144.19999999999999</v>
      </c>
      <c r="CG12">
        <v>145.5</v>
      </c>
      <c r="CH12">
        <v>147.30000000000001</v>
      </c>
      <c r="CI12">
        <v>149.1</v>
      </c>
      <c r="CJ12">
        <v>151.6</v>
      </c>
      <c r="CK12">
        <v>152.80000000000001</v>
      </c>
      <c r="CL12">
        <v>154</v>
      </c>
      <c r="CM12">
        <v>158.69999999999999</v>
      </c>
      <c r="CN12" t="s">
        <v>32</v>
      </c>
      <c r="CO12">
        <v>159.80000000000001</v>
      </c>
      <c r="CP12">
        <v>159.80000000000001</v>
      </c>
      <c r="CQ12">
        <v>160</v>
      </c>
      <c r="CR12">
        <v>160</v>
      </c>
      <c r="CS12">
        <v>160.9</v>
      </c>
      <c r="CT12">
        <v>162</v>
      </c>
      <c r="CU12">
        <v>163.5</v>
      </c>
      <c r="CV12">
        <v>164.5</v>
      </c>
      <c r="CW12">
        <v>165</v>
      </c>
      <c r="CX12">
        <v>164</v>
      </c>
      <c r="CY12">
        <v>164.4</v>
      </c>
      <c r="CZ12">
        <v>169.7</v>
      </c>
      <c r="DA12">
        <v>170</v>
      </c>
      <c r="DB12">
        <v>169.7</v>
      </c>
      <c r="DC12">
        <v>169.8</v>
      </c>
      <c r="DD12">
        <v>170.1</v>
      </c>
      <c r="DE12">
        <v>170.6</v>
      </c>
      <c r="DF12">
        <v>170.8</v>
      </c>
      <c r="DG12">
        <v>171.7</v>
      </c>
      <c r="DH12">
        <v>173.3</v>
      </c>
      <c r="DI12">
        <v>175.4</v>
      </c>
      <c r="DJ12">
        <v>178.7</v>
      </c>
      <c r="DK12">
        <v>182.9</v>
      </c>
      <c r="DL12">
        <v>186.6</v>
      </c>
      <c r="DM12">
        <v>188.9</v>
      </c>
      <c r="DN12">
        <v>191.8</v>
      </c>
      <c r="DO12">
        <v>195.6</v>
      </c>
      <c r="DP12">
        <v>199.1</v>
      </c>
      <c r="DQ12">
        <v>201.6</v>
      </c>
      <c r="DR12">
        <v>204.8</v>
      </c>
      <c r="DS12">
        <v>207.5</v>
      </c>
      <c r="DT12">
        <v>210.5</v>
      </c>
      <c r="DU12">
        <v>212.1</v>
      </c>
      <c r="DV12">
        <v>212.1</v>
      </c>
      <c r="DW12">
        <v>215.5</v>
      </c>
      <c r="DX12">
        <v>221</v>
      </c>
    </row>
    <row r="13" spans="1:128" x14ac:dyDescent="0.3">
      <c r="A13" s="172" t="s">
        <v>13</v>
      </c>
      <c r="B13" s="172" t="s">
        <v>67</v>
      </c>
      <c r="C13" s="170" t="s">
        <v>30</v>
      </c>
      <c r="E13">
        <v>104.8</v>
      </c>
      <c r="F13">
        <v>105.1</v>
      </c>
      <c r="G13">
        <v>105.6</v>
      </c>
      <c r="H13">
        <v>106.5</v>
      </c>
      <c r="I13">
        <v>107.4</v>
      </c>
      <c r="J13">
        <v>108.2</v>
      </c>
      <c r="K13">
        <v>109.1</v>
      </c>
      <c r="L13">
        <v>109.7</v>
      </c>
      <c r="M13">
        <v>110.4</v>
      </c>
      <c r="N13">
        <v>111.1</v>
      </c>
      <c r="O13">
        <v>111.8</v>
      </c>
      <c r="P13">
        <v>112.1</v>
      </c>
      <c r="Q13">
        <v>112.4</v>
      </c>
      <c r="R13">
        <v>112.9</v>
      </c>
      <c r="S13">
        <v>113</v>
      </c>
      <c r="T13">
        <v>113.5</v>
      </c>
      <c r="U13">
        <v>114.2</v>
      </c>
      <c r="V13">
        <v>114.9</v>
      </c>
      <c r="W13">
        <v>115.6</v>
      </c>
      <c r="X13">
        <v>115.8</v>
      </c>
      <c r="Y13">
        <v>116.5</v>
      </c>
      <c r="Z13">
        <v>116.8</v>
      </c>
      <c r="AA13">
        <v>116.8</v>
      </c>
      <c r="AB13">
        <v>117.3</v>
      </c>
      <c r="AC13">
        <v>117.9</v>
      </c>
      <c r="AD13">
        <v>118.8</v>
      </c>
      <c r="AE13">
        <v>118.9</v>
      </c>
      <c r="AF13">
        <v>119.4</v>
      </c>
      <c r="AG13">
        <v>120.2</v>
      </c>
      <c r="AH13">
        <v>121.1</v>
      </c>
      <c r="AI13">
        <v>121</v>
      </c>
      <c r="AJ13">
        <v>121.5</v>
      </c>
      <c r="AK13">
        <v>121.9</v>
      </c>
      <c r="AL13">
        <v>122.3</v>
      </c>
      <c r="AM13">
        <v>123.1</v>
      </c>
      <c r="AN13">
        <v>123.3</v>
      </c>
      <c r="AO13">
        <v>124.3</v>
      </c>
      <c r="AP13">
        <v>124.8</v>
      </c>
      <c r="AQ13">
        <v>124.9</v>
      </c>
      <c r="AR13">
        <v>125.4</v>
      </c>
      <c r="AS13">
        <v>126.1</v>
      </c>
      <c r="AT13">
        <v>126.4</v>
      </c>
      <c r="AU13">
        <v>127.3</v>
      </c>
      <c r="AV13">
        <v>128.1</v>
      </c>
      <c r="AW13">
        <v>128.80000000000001</v>
      </c>
      <c r="AX13">
        <v>128.69999999999999</v>
      </c>
      <c r="AY13">
        <v>128.69999999999999</v>
      </c>
      <c r="AZ13">
        <v>129.1</v>
      </c>
      <c r="BA13">
        <v>129</v>
      </c>
      <c r="BB13">
        <v>129.4</v>
      </c>
      <c r="BC13">
        <v>129.80000000000001</v>
      </c>
      <c r="BD13">
        <v>130</v>
      </c>
      <c r="BE13">
        <v>130.30000000000001</v>
      </c>
      <c r="BF13">
        <v>130.4</v>
      </c>
      <c r="BG13">
        <v>131.4</v>
      </c>
      <c r="BH13">
        <v>131.6</v>
      </c>
      <c r="BI13">
        <v>131.69999999999999</v>
      </c>
      <c r="BJ13">
        <v>131.30000000000001</v>
      </c>
      <c r="BK13">
        <v>131.9</v>
      </c>
      <c r="BL13">
        <v>131.1</v>
      </c>
      <c r="BM13">
        <v>131.19999999999999</v>
      </c>
      <c r="BN13">
        <v>130.5</v>
      </c>
      <c r="BO13">
        <v>131.19999999999999</v>
      </c>
      <c r="BP13">
        <v>131.9</v>
      </c>
      <c r="BQ13">
        <v>132.19999999999999</v>
      </c>
      <c r="BR13">
        <v>132.80000000000001</v>
      </c>
      <c r="BS13">
        <v>132.80000000000001</v>
      </c>
      <c r="BT13">
        <v>133.80000000000001</v>
      </c>
      <c r="BU13">
        <v>133.1</v>
      </c>
      <c r="BV13">
        <v>134.6</v>
      </c>
      <c r="BW13">
        <v>137.5</v>
      </c>
      <c r="BX13">
        <v>137.80000000000001</v>
      </c>
      <c r="BY13">
        <v>137</v>
      </c>
      <c r="BZ13">
        <v>137.4</v>
      </c>
      <c r="CA13">
        <v>137.4</v>
      </c>
      <c r="CB13">
        <v>137.69999999999999</v>
      </c>
      <c r="CC13">
        <v>138</v>
      </c>
      <c r="CD13">
        <v>138.5</v>
      </c>
      <c r="CE13">
        <v>138.5</v>
      </c>
      <c r="CF13">
        <v>138.5</v>
      </c>
      <c r="CG13">
        <v>138.6</v>
      </c>
      <c r="CH13">
        <v>138.69999999999999</v>
      </c>
      <c r="CI13">
        <v>139.30000000000001</v>
      </c>
      <c r="CJ13">
        <v>139.69999999999999</v>
      </c>
      <c r="CK13">
        <v>140.1</v>
      </c>
      <c r="CL13">
        <v>140.1</v>
      </c>
      <c r="CM13">
        <v>139.19999999999999</v>
      </c>
      <c r="CN13" t="s">
        <v>32</v>
      </c>
      <c r="CO13">
        <v>142.1</v>
      </c>
      <c r="CP13">
        <v>142.1</v>
      </c>
      <c r="CQ13">
        <v>143.5</v>
      </c>
      <c r="CR13">
        <v>145.4</v>
      </c>
      <c r="CS13">
        <v>147.4</v>
      </c>
      <c r="CT13">
        <v>150</v>
      </c>
      <c r="CU13">
        <v>153.4</v>
      </c>
      <c r="CV13">
        <v>156.1</v>
      </c>
      <c r="CW13">
        <v>160</v>
      </c>
      <c r="CX13">
        <v>160.6</v>
      </c>
      <c r="CY13">
        <v>161.9</v>
      </c>
      <c r="CZ13">
        <v>164.6</v>
      </c>
      <c r="DA13">
        <v>165.5</v>
      </c>
      <c r="DB13">
        <v>166.2</v>
      </c>
      <c r="DC13">
        <v>167.6</v>
      </c>
      <c r="DD13">
        <v>168.3</v>
      </c>
      <c r="DE13">
        <v>168.8</v>
      </c>
      <c r="DF13">
        <v>169.1</v>
      </c>
      <c r="DG13">
        <v>169.7</v>
      </c>
      <c r="DH13">
        <v>169.8</v>
      </c>
      <c r="DI13">
        <v>170.5</v>
      </c>
      <c r="DJ13">
        <v>171.2</v>
      </c>
      <c r="DK13">
        <v>172.4</v>
      </c>
      <c r="DL13">
        <v>173.2</v>
      </c>
      <c r="DM13">
        <v>174.2</v>
      </c>
      <c r="DN13">
        <v>174.5</v>
      </c>
      <c r="DO13">
        <v>174.8</v>
      </c>
      <c r="DP13">
        <v>175.4</v>
      </c>
      <c r="DQ13">
        <v>175.8</v>
      </c>
      <c r="DR13">
        <v>176.4</v>
      </c>
      <c r="DS13">
        <v>176.8</v>
      </c>
      <c r="DT13">
        <v>176.9</v>
      </c>
      <c r="DU13">
        <v>177.6</v>
      </c>
      <c r="DV13">
        <v>177.6</v>
      </c>
      <c r="DW13">
        <v>178.2</v>
      </c>
      <c r="DX13">
        <v>178.7</v>
      </c>
    </row>
    <row r="14" spans="1:128" x14ac:dyDescent="0.3">
      <c r="A14" s="171" t="s">
        <v>14</v>
      </c>
      <c r="B14" s="171" t="s">
        <v>66</v>
      </c>
      <c r="C14" s="170" t="s">
        <v>30</v>
      </c>
      <c r="E14">
        <v>106.7</v>
      </c>
      <c r="F14">
        <v>107.7</v>
      </c>
      <c r="G14">
        <v>108.2</v>
      </c>
      <c r="H14">
        <v>108.8</v>
      </c>
      <c r="I14">
        <v>109.9</v>
      </c>
      <c r="J14">
        <v>111</v>
      </c>
      <c r="K14">
        <v>112.1</v>
      </c>
      <c r="L14">
        <v>112.6</v>
      </c>
      <c r="M14">
        <v>114</v>
      </c>
      <c r="N14">
        <v>114.9</v>
      </c>
      <c r="O14">
        <v>116</v>
      </c>
      <c r="P14">
        <v>116.8</v>
      </c>
      <c r="Q14">
        <v>117.3</v>
      </c>
      <c r="R14">
        <v>117.8</v>
      </c>
      <c r="S14">
        <v>118.3</v>
      </c>
      <c r="T14">
        <v>118.7</v>
      </c>
      <c r="U14">
        <v>119.2</v>
      </c>
      <c r="V14">
        <v>120.1</v>
      </c>
      <c r="W14">
        <v>120.9</v>
      </c>
      <c r="X14">
        <v>121.7</v>
      </c>
      <c r="Y14">
        <v>122.6</v>
      </c>
      <c r="Z14">
        <v>123.2</v>
      </c>
      <c r="AA14">
        <v>124.5</v>
      </c>
      <c r="AB14">
        <v>124.8</v>
      </c>
      <c r="AC14">
        <v>125.6</v>
      </c>
      <c r="AD14">
        <v>126.8</v>
      </c>
      <c r="AE14">
        <v>127.7</v>
      </c>
      <c r="AF14">
        <v>128.69999999999999</v>
      </c>
      <c r="AG14">
        <v>129.80000000000001</v>
      </c>
      <c r="AH14">
        <v>131.19999999999999</v>
      </c>
      <c r="AI14">
        <v>131.69999999999999</v>
      </c>
      <c r="AJ14">
        <v>132.5</v>
      </c>
      <c r="AK14">
        <v>132.69999999999999</v>
      </c>
      <c r="AL14">
        <v>133.1</v>
      </c>
      <c r="AM14">
        <v>134.19999999999999</v>
      </c>
      <c r="AN14">
        <v>135.1</v>
      </c>
      <c r="AO14">
        <v>135.9</v>
      </c>
      <c r="AP14">
        <v>136.4</v>
      </c>
      <c r="AQ14">
        <v>137</v>
      </c>
      <c r="AR14">
        <v>137.4</v>
      </c>
      <c r="AS14">
        <v>138.30000000000001</v>
      </c>
      <c r="AT14">
        <v>139.19999999999999</v>
      </c>
      <c r="AU14">
        <v>139.9</v>
      </c>
      <c r="AV14">
        <v>140.69999999999999</v>
      </c>
      <c r="AW14">
        <v>141.5</v>
      </c>
      <c r="AX14">
        <v>142.4</v>
      </c>
      <c r="AY14">
        <v>143.1</v>
      </c>
      <c r="AZ14">
        <v>143.6</v>
      </c>
      <c r="BA14">
        <v>143.9</v>
      </c>
      <c r="BB14">
        <v>144.4</v>
      </c>
      <c r="BC14">
        <v>145.4</v>
      </c>
      <c r="BD14">
        <v>145.5</v>
      </c>
      <c r="BE14">
        <v>145.80000000000001</v>
      </c>
      <c r="BF14">
        <v>146.5</v>
      </c>
      <c r="BG14">
        <v>147.69999999999999</v>
      </c>
      <c r="BH14">
        <v>148.69999999999999</v>
      </c>
      <c r="BI14">
        <v>149.30000000000001</v>
      </c>
      <c r="BJ14">
        <v>150.30000000000001</v>
      </c>
      <c r="BK14">
        <v>151.4</v>
      </c>
      <c r="BL14">
        <v>151.4</v>
      </c>
      <c r="BM14">
        <v>151.80000000000001</v>
      </c>
      <c r="BN14">
        <v>151.69999999999999</v>
      </c>
      <c r="BO14">
        <v>152.80000000000001</v>
      </c>
      <c r="BP14">
        <v>153.80000000000001</v>
      </c>
      <c r="BQ14">
        <v>154.30000000000001</v>
      </c>
      <c r="BR14">
        <v>154.30000000000001</v>
      </c>
      <c r="BS14">
        <v>154.80000000000001</v>
      </c>
      <c r="BT14">
        <v>155.19999999999999</v>
      </c>
      <c r="BU14">
        <v>155.9</v>
      </c>
      <c r="BV14">
        <v>155.19999999999999</v>
      </c>
      <c r="BW14">
        <v>156.1</v>
      </c>
      <c r="BX14">
        <v>156</v>
      </c>
      <c r="BY14">
        <v>155.80000000000001</v>
      </c>
      <c r="BZ14">
        <v>156.19999999999999</v>
      </c>
      <c r="CA14">
        <v>156.4</v>
      </c>
      <c r="CB14">
        <v>156.4</v>
      </c>
      <c r="CC14">
        <v>156.6</v>
      </c>
      <c r="CD14">
        <v>156.69999999999999</v>
      </c>
      <c r="CE14">
        <v>156.9</v>
      </c>
      <c r="CF14">
        <v>157.19999999999999</v>
      </c>
      <c r="CG14">
        <v>157.4</v>
      </c>
      <c r="CH14">
        <v>157.69999999999999</v>
      </c>
      <c r="CI14">
        <v>158.30000000000001</v>
      </c>
      <c r="CJ14">
        <v>158.69999999999999</v>
      </c>
      <c r="CK14">
        <v>159.19999999999999</v>
      </c>
      <c r="CL14">
        <v>160</v>
      </c>
      <c r="CM14" t="s">
        <v>32</v>
      </c>
      <c r="CN14" t="s">
        <v>32</v>
      </c>
      <c r="CO14">
        <v>161.80000000000001</v>
      </c>
      <c r="CP14">
        <v>161.80000000000001</v>
      </c>
      <c r="CQ14">
        <v>161.5</v>
      </c>
      <c r="CR14">
        <v>161.6</v>
      </c>
      <c r="CS14">
        <v>161.9</v>
      </c>
      <c r="CT14">
        <v>162.69999999999999</v>
      </c>
      <c r="CU14">
        <v>163.6</v>
      </c>
      <c r="CV14">
        <v>164.3</v>
      </c>
      <c r="CW14">
        <v>165.8</v>
      </c>
      <c r="CX14">
        <v>166.4</v>
      </c>
      <c r="CY14">
        <v>166.8</v>
      </c>
      <c r="CZ14">
        <v>169.8</v>
      </c>
      <c r="DA14">
        <v>171.7</v>
      </c>
      <c r="DB14">
        <v>171</v>
      </c>
      <c r="DC14">
        <v>171.9</v>
      </c>
      <c r="DD14">
        <v>172.8</v>
      </c>
      <c r="DE14">
        <v>173.6</v>
      </c>
      <c r="DF14">
        <v>174.3</v>
      </c>
      <c r="DG14">
        <v>175.1</v>
      </c>
      <c r="DH14">
        <v>175.8</v>
      </c>
      <c r="DI14">
        <v>176.3</v>
      </c>
      <c r="DJ14">
        <v>177.4</v>
      </c>
      <c r="DK14">
        <v>178.9</v>
      </c>
      <c r="DL14">
        <v>180.4</v>
      </c>
      <c r="DM14">
        <v>181.9</v>
      </c>
      <c r="DN14">
        <v>183.1</v>
      </c>
      <c r="DO14">
        <v>184</v>
      </c>
      <c r="DP14">
        <v>184.8</v>
      </c>
      <c r="DQ14">
        <v>185.6</v>
      </c>
      <c r="DR14">
        <v>186.9</v>
      </c>
      <c r="DS14">
        <v>187.7</v>
      </c>
      <c r="DT14">
        <v>188.5</v>
      </c>
      <c r="DU14">
        <v>189.9</v>
      </c>
      <c r="DV14">
        <v>189.9</v>
      </c>
      <c r="DW14">
        <v>190.5</v>
      </c>
      <c r="DX14">
        <v>191.1</v>
      </c>
    </row>
    <row r="15" spans="1:128" x14ac:dyDescent="0.3">
      <c r="A15" s="171" t="s">
        <v>15</v>
      </c>
      <c r="B15" s="171" t="s">
        <v>66</v>
      </c>
      <c r="C15" s="170" t="s">
        <v>30</v>
      </c>
      <c r="E15">
        <v>105.5</v>
      </c>
      <c r="F15">
        <v>106.3</v>
      </c>
      <c r="G15">
        <v>106.6</v>
      </c>
      <c r="H15">
        <v>107.1</v>
      </c>
      <c r="I15">
        <v>108.1</v>
      </c>
      <c r="J15">
        <v>110.6</v>
      </c>
      <c r="K15">
        <v>113.1</v>
      </c>
      <c r="L15">
        <v>114.9</v>
      </c>
      <c r="M15">
        <v>117.8</v>
      </c>
      <c r="N15">
        <v>119.8</v>
      </c>
      <c r="O15">
        <v>122.5</v>
      </c>
      <c r="P15">
        <v>118.7</v>
      </c>
      <c r="Q15">
        <v>116</v>
      </c>
      <c r="R15">
        <v>115.3</v>
      </c>
      <c r="S15">
        <v>116.2</v>
      </c>
      <c r="T15">
        <v>117.2</v>
      </c>
      <c r="U15">
        <v>118.2</v>
      </c>
      <c r="V15">
        <v>119.5</v>
      </c>
      <c r="W15">
        <v>123.3</v>
      </c>
      <c r="X15">
        <v>125.3</v>
      </c>
      <c r="Y15">
        <v>125.3</v>
      </c>
      <c r="Z15">
        <v>125.1</v>
      </c>
      <c r="AA15">
        <v>124.9</v>
      </c>
      <c r="AB15">
        <v>123.3</v>
      </c>
      <c r="AC15">
        <v>122.8</v>
      </c>
      <c r="AD15">
        <v>122.8</v>
      </c>
      <c r="AE15">
        <v>123.1</v>
      </c>
      <c r="AF15">
        <v>123.6</v>
      </c>
      <c r="AG15">
        <v>124.4</v>
      </c>
      <c r="AH15">
        <v>126.6</v>
      </c>
      <c r="AI15">
        <v>127.5</v>
      </c>
      <c r="AJ15">
        <v>129.80000000000001</v>
      </c>
      <c r="AK15">
        <v>131</v>
      </c>
      <c r="AL15">
        <v>131.80000000000001</v>
      </c>
      <c r="AM15">
        <v>132.4</v>
      </c>
      <c r="AN15">
        <v>131.4</v>
      </c>
      <c r="AO15">
        <v>131.4</v>
      </c>
      <c r="AP15">
        <v>130.30000000000001</v>
      </c>
      <c r="AQ15">
        <v>130.4</v>
      </c>
      <c r="AR15">
        <v>131.80000000000001</v>
      </c>
      <c r="AS15">
        <v>133.6</v>
      </c>
      <c r="AT15">
        <v>136</v>
      </c>
      <c r="AU15">
        <v>137.6</v>
      </c>
      <c r="AV15">
        <v>138</v>
      </c>
      <c r="AW15">
        <v>137.19999999999999</v>
      </c>
      <c r="AX15">
        <v>137.4</v>
      </c>
      <c r="AY15">
        <v>136.6</v>
      </c>
      <c r="AZ15">
        <v>134.69999999999999</v>
      </c>
      <c r="BA15">
        <v>133.69999999999999</v>
      </c>
      <c r="BB15">
        <v>133.6</v>
      </c>
      <c r="BC15">
        <v>133.4</v>
      </c>
      <c r="BD15">
        <v>133.5</v>
      </c>
      <c r="BE15">
        <v>133.80000000000001</v>
      </c>
      <c r="BF15">
        <v>134.9</v>
      </c>
      <c r="BG15">
        <v>138.5</v>
      </c>
      <c r="BH15">
        <v>140.6</v>
      </c>
      <c r="BI15">
        <v>139.6</v>
      </c>
      <c r="BJ15">
        <v>140.4</v>
      </c>
      <c r="BK15">
        <v>142.4</v>
      </c>
      <c r="BL15">
        <v>141.5</v>
      </c>
      <c r="BM15">
        <v>140.4</v>
      </c>
      <c r="BN15">
        <v>138.69999999999999</v>
      </c>
      <c r="BO15">
        <v>138.6</v>
      </c>
      <c r="BP15">
        <v>138.6</v>
      </c>
      <c r="BQ15">
        <v>139.1</v>
      </c>
      <c r="BR15">
        <v>140</v>
      </c>
      <c r="BS15">
        <v>142</v>
      </c>
      <c r="BT15">
        <v>142.69999999999999</v>
      </c>
      <c r="BU15">
        <v>141.30000000000001</v>
      </c>
      <c r="BV15">
        <v>140.19999999999999</v>
      </c>
      <c r="BW15">
        <v>140</v>
      </c>
      <c r="BX15">
        <v>138.5</v>
      </c>
      <c r="BY15">
        <v>137.4</v>
      </c>
      <c r="BZ15">
        <v>137.19999999999999</v>
      </c>
      <c r="CA15">
        <v>137.30000000000001</v>
      </c>
      <c r="CB15">
        <v>139.19999999999999</v>
      </c>
      <c r="CC15">
        <v>141</v>
      </c>
      <c r="CD15">
        <v>143</v>
      </c>
      <c r="CE15">
        <v>144</v>
      </c>
      <c r="CF15">
        <v>145.5</v>
      </c>
      <c r="CG15">
        <v>148.30000000000001</v>
      </c>
      <c r="CH15">
        <v>150.9</v>
      </c>
      <c r="CI15">
        <v>154.30000000000001</v>
      </c>
      <c r="CJ15">
        <v>153</v>
      </c>
      <c r="CK15">
        <v>149.80000000000001</v>
      </c>
      <c r="CL15">
        <v>148.19999999999999</v>
      </c>
      <c r="CM15">
        <v>150.1</v>
      </c>
      <c r="CN15" t="s">
        <v>32</v>
      </c>
      <c r="CO15">
        <v>152.30000000000001</v>
      </c>
      <c r="CP15">
        <v>152.30000000000001</v>
      </c>
      <c r="CQ15">
        <v>155.30000000000001</v>
      </c>
      <c r="CR15">
        <v>156.1</v>
      </c>
      <c r="CS15">
        <v>159.6</v>
      </c>
      <c r="CT15">
        <v>163.4</v>
      </c>
      <c r="CU15">
        <v>164.5</v>
      </c>
      <c r="CV15">
        <v>159.6</v>
      </c>
      <c r="CW15">
        <v>154.69999999999999</v>
      </c>
      <c r="CX15">
        <v>154.5</v>
      </c>
      <c r="CY15">
        <v>155.6</v>
      </c>
      <c r="CZ15">
        <v>158.69999999999999</v>
      </c>
      <c r="DA15">
        <v>160.5</v>
      </c>
      <c r="DB15">
        <v>161.69999999999999</v>
      </c>
      <c r="DC15">
        <v>161.80000000000001</v>
      </c>
      <c r="DD15">
        <v>162.1</v>
      </c>
      <c r="DE15">
        <v>165.5</v>
      </c>
      <c r="DF15">
        <v>167.5</v>
      </c>
      <c r="DG15">
        <v>165.8</v>
      </c>
      <c r="DH15">
        <v>164.1</v>
      </c>
      <c r="DI15">
        <v>163.9</v>
      </c>
      <c r="DJ15">
        <v>166.6</v>
      </c>
      <c r="DK15">
        <v>168.6</v>
      </c>
      <c r="DL15">
        <v>170.8</v>
      </c>
      <c r="DM15">
        <v>172.4</v>
      </c>
      <c r="DN15">
        <v>172.5</v>
      </c>
      <c r="DO15">
        <v>173.9</v>
      </c>
      <c r="DP15">
        <v>175.5</v>
      </c>
      <c r="DQ15">
        <v>177.4</v>
      </c>
      <c r="DR15">
        <v>176.6</v>
      </c>
      <c r="DS15">
        <v>174.4</v>
      </c>
      <c r="DT15">
        <v>175</v>
      </c>
      <c r="DU15">
        <v>174.8</v>
      </c>
      <c r="DV15">
        <v>174.8</v>
      </c>
      <c r="DW15">
        <v>175.5</v>
      </c>
      <c r="DX15">
        <v>176.8</v>
      </c>
    </row>
    <row r="16" spans="1:128" x14ac:dyDescent="0.3">
      <c r="A16" s="172" t="s">
        <v>16</v>
      </c>
      <c r="B16" s="172" t="s">
        <v>67</v>
      </c>
      <c r="C16" s="170" t="s">
        <v>30</v>
      </c>
      <c r="E16">
        <v>105.1</v>
      </c>
      <c r="F16">
        <v>105.6</v>
      </c>
      <c r="G16">
        <v>106.5</v>
      </c>
      <c r="H16">
        <v>107.1</v>
      </c>
      <c r="I16">
        <v>108.1</v>
      </c>
      <c r="J16">
        <v>109</v>
      </c>
      <c r="K16">
        <v>109.8</v>
      </c>
      <c r="L16">
        <v>110.7</v>
      </c>
      <c r="M16">
        <v>111.7</v>
      </c>
      <c r="N16">
        <v>112.2</v>
      </c>
      <c r="O16">
        <v>112.8</v>
      </c>
      <c r="P16">
        <v>113.6</v>
      </c>
      <c r="Q16">
        <v>114</v>
      </c>
      <c r="R16">
        <v>114.2</v>
      </c>
      <c r="S16">
        <v>114.6</v>
      </c>
      <c r="T16">
        <v>115.4</v>
      </c>
      <c r="U16">
        <v>116.3</v>
      </c>
      <c r="V16">
        <v>117.3</v>
      </c>
      <c r="W16">
        <v>118</v>
      </c>
      <c r="X16">
        <v>118.8</v>
      </c>
      <c r="Y16">
        <v>119.5</v>
      </c>
      <c r="Z16">
        <v>120</v>
      </c>
      <c r="AA16">
        <v>120.8</v>
      </c>
      <c r="AB16">
        <v>121.7</v>
      </c>
      <c r="AC16">
        <v>122.7</v>
      </c>
      <c r="AD16">
        <v>124.2</v>
      </c>
      <c r="AE16">
        <v>124.7</v>
      </c>
      <c r="AF16">
        <v>125.7</v>
      </c>
      <c r="AG16">
        <v>126.7</v>
      </c>
      <c r="AH16">
        <v>128.19999999999999</v>
      </c>
      <c r="AI16">
        <v>129.4</v>
      </c>
      <c r="AJ16">
        <v>130.1</v>
      </c>
      <c r="AK16">
        <v>131</v>
      </c>
      <c r="AL16">
        <v>131.5</v>
      </c>
      <c r="AM16">
        <v>132.19999999999999</v>
      </c>
      <c r="AN16">
        <v>133.1</v>
      </c>
      <c r="AO16">
        <v>133.6</v>
      </c>
      <c r="AP16">
        <v>134.4</v>
      </c>
      <c r="AQ16">
        <v>135</v>
      </c>
      <c r="AR16">
        <v>135.5</v>
      </c>
      <c r="AS16">
        <v>136</v>
      </c>
      <c r="AT16">
        <v>137.19999999999999</v>
      </c>
      <c r="AU16">
        <v>138</v>
      </c>
      <c r="AV16">
        <v>138.9</v>
      </c>
      <c r="AW16">
        <v>139.9</v>
      </c>
      <c r="AX16">
        <v>140.9</v>
      </c>
      <c r="AY16">
        <v>141.19999999999999</v>
      </c>
      <c r="AZ16">
        <v>142.4</v>
      </c>
      <c r="BA16">
        <v>143.1</v>
      </c>
      <c r="BB16">
        <v>143.69999999999999</v>
      </c>
      <c r="BC16">
        <v>144.19999999999999</v>
      </c>
      <c r="BD16">
        <v>144.4</v>
      </c>
      <c r="BE16">
        <v>145.5</v>
      </c>
      <c r="BF16">
        <v>145.80000000000001</v>
      </c>
      <c r="BG16">
        <v>147.4</v>
      </c>
      <c r="BH16">
        <v>149</v>
      </c>
      <c r="BI16">
        <v>149.80000000000001</v>
      </c>
      <c r="BJ16">
        <v>150.5</v>
      </c>
      <c r="BK16">
        <v>152.1</v>
      </c>
      <c r="BL16">
        <v>153.19999999999999</v>
      </c>
      <c r="BM16">
        <v>153.6</v>
      </c>
      <c r="BN16">
        <v>153.30000000000001</v>
      </c>
      <c r="BO16">
        <v>155.1</v>
      </c>
      <c r="BP16">
        <v>156.1</v>
      </c>
      <c r="BQ16">
        <v>157</v>
      </c>
      <c r="BR16">
        <v>157.30000000000001</v>
      </c>
      <c r="BS16">
        <v>156.1</v>
      </c>
      <c r="BT16">
        <v>156.4</v>
      </c>
      <c r="BU16">
        <v>157.69999999999999</v>
      </c>
      <c r="BV16">
        <v>159.6</v>
      </c>
      <c r="BW16">
        <v>161.9</v>
      </c>
      <c r="BX16">
        <v>162.4</v>
      </c>
      <c r="BY16">
        <v>162.69999999999999</v>
      </c>
      <c r="BZ16">
        <v>162.80000000000001</v>
      </c>
      <c r="CA16">
        <v>162.9</v>
      </c>
      <c r="CB16">
        <v>163.30000000000001</v>
      </c>
      <c r="CC16">
        <v>164.2</v>
      </c>
      <c r="CD16">
        <v>164.5</v>
      </c>
      <c r="CE16">
        <v>165.1</v>
      </c>
      <c r="CF16">
        <v>165.7</v>
      </c>
      <c r="CG16">
        <v>166.3</v>
      </c>
      <c r="CH16">
        <v>167.2</v>
      </c>
      <c r="CI16">
        <v>167.8</v>
      </c>
      <c r="CJ16">
        <v>168.6</v>
      </c>
      <c r="CK16">
        <v>169.4</v>
      </c>
      <c r="CL16">
        <v>170.5</v>
      </c>
      <c r="CM16" t="s">
        <v>32</v>
      </c>
      <c r="CN16" t="s">
        <v>32</v>
      </c>
      <c r="CO16">
        <v>182.4</v>
      </c>
      <c r="CP16">
        <v>182.4</v>
      </c>
      <c r="CQ16">
        <v>180.9</v>
      </c>
      <c r="CR16">
        <v>182.9</v>
      </c>
      <c r="CS16">
        <v>182.7</v>
      </c>
      <c r="CT16">
        <v>183.4</v>
      </c>
      <c r="CU16">
        <v>183.6</v>
      </c>
      <c r="CV16">
        <v>184.6</v>
      </c>
      <c r="CW16">
        <v>186.5</v>
      </c>
      <c r="CX16">
        <v>186.1</v>
      </c>
      <c r="CY16">
        <v>186.8</v>
      </c>
      <c r="CZ16">
        <v>189.6</v>
      </c>
      <c r="DA16">
        <v>189.1</v>
      </c>
      <c r="DB16">
        <v>189.7</v>
      </c>
      <c r="DC16">
        <v>190.2</v>
      </c>
      <c r="DD16">
        <v>190.5</v>
      </c>
      <c r="DE16">
        <v>191.2</v>
      </c>
      <c r="DF16">
        <v>191.4</v>
      </c>
      <c r="DG16">
        <v>190.8</v>
      </c>
      <c r="DH16">
        <v>190.7</v>
      </c>
      <c r="DI16">
        <v>191.5</v>
      </c>
      <c r="DJ16">
        <v>192.3</v>
      </c>
      <c r="DK16">
        <v>192.8</v>
      </c>
      <c r="DL16">
        <v>192.9</v>
      </c>
      <c r="DM16">
        <v>192.9</v>
      </c>
      <c r="DN16">
        <v>193.2</v>
      </c>
      <c r="DO16">
        <v>193.7</v>
      </c>
      <c r="DP16">
        <v>194.5</v>
      </c>
      <c r="DQ16">
        <v>194.9</v>
      </c>
      <c r="DR16">
        <v>195.5</v>
      </c>
      <c r="DS16">
        <v>195.9</v>
      </c>
      <c r="DT16">
        <v>196.9</v>
      </c>
      <c r="DU16">
        <v>198.3</v>
      </c>
      <c r="DV16">
        <v>198.4</v>
      </c>
      <c r="DW16">
        <v>199.5</v>
      </c>
      <c r="DX16">
        <v>199.9</v>
      </c>
    </row>
    <row r="17" spans="1:128" x14ac:dyDescent="0.3">
      <c r="A17" s="173" t="s">
        <v>17</v>
      </c>
      <c r="B17" s="173" t="s">
        <v>17</v>
      </c>
      <c r="C17" s="170" t="s">
        <v>30</v>
      </c>
      <c r="E17">
        <v>106.5</v>
      </c>
      <c r="F17">
        <v>107.1</v>
      </c>
      <c r="G17">
        <v>107.6</v>
      </c>
      <c r="H17">
        <v>108.1</v>
      </c>
      <c r="I17">
        <v>108.8</v>
      </c>
      <c r="J17">
        <v>109.7</v>
      </c>
      <c r="K17">
        <v>110.5</v>
      </c>
      <c r="L17">
        <v>111.3</v>
      </c>
      <c r="M17">
        <v>112.7</v>
      </c>
      <c r="N17">
        <v>113.6</v>
      </c>
      <c r="O17">
        <v>114.6</v>
      </c>
      <c r="P17">
        <v>115.8</v>
      </c>
      <c r="Q17">
        <v>116.5</v>
      </c>
      <c r="R17">
        <v>117.1</v>
      </c>
      <c r="S17">
        <v>117.5</v>
      </c>
      <c r="T17">
        <v>118.1</v>
      </c>
      <c r="U17">
        <v>118.7</v>
      </c>
      <c r="V17">
        <v>119.7</v>
      </c>
      <c r="W17">
        <v>120.7</v>
      </c>
      <c r="X17">
        <v>120.9</v>
      </c>
      <c r="Y17">
        <v>121.7</v>
      </c>
      <c r="Z17">
        <v>122.7</v>
      </c>
      <c r="AA17">
        <v>123.3</v>
      </c>
      <c r="AB17">
        <v>123.8</v>
      </c>
      <c r="AC17">
        <v>124.4</v>
      </c>
      <c r="AD17">
        <v>125.4</v>
      </c>
      <c r="AE17">
        <v>126</v>
      </c>
      <c r="AF17">
        <v>126.4</v>
      </c>
      <c r="AG17">
        <v>127.3</v>
      </c>
      <c r="AH17">
        <v>128.4</v>
      </c>
      <c r="AI17">
        <v>128.80000000000001</v>
      </c>
      <c r="AJ17">
        <v>129.5</v>
      </c>
      <c r="AK17">
        <v>130.4</v>
      </c>
      <c r="AL17">
        <v>131.1</v>
      </c>
      <c r="AM17">
        <v>132.1</v>
      </c>
      <c r="AN17">
        <v>132.5</v>
      </c>
      <c r="AO17">
        <v>133.19999999999999</v>
      </c>
      <c r="AP17">
        <v>133.9</v>
      </c>
      <c r="AQ17">
        <v>134.4</v>
      </c>
      <c r="AR17">
        <v>135</v>
      </c>
      <c r="AS17">
        <v>135.4</v>
      </c>
      <c r="AT17">
        <v>136.30000000000001</v>
      </c>
      <c r="AU17">
        <v>137.19999999999999</v>
      </c>
      <c r="AV17">
        <v>137.80000000000001</v>
      </c>
      <c r="AW17">
        <v>138.5</v>
      </c>
      <c r="AX17">
        <v>139.6</v>
      </c>
      <c r="AY17">
        <v>139.9</v>
      </c>
      <c r="AZ17">
        <v>140.4</v>
      </c>
      <c r="BA17">
        <v>140.69999999999999</v>
      </c>
      <c r="BB17">
        <v>140.9</v>
      </c>
      <c r="BC17">
        <v>141.6</v>
      </c>
      <c r="BD17">
        <v>142.4</v>
      </c>
      <c r="BE17">
        <v>142.5</v>
      </c>
      <c r="BF17">
        <v>143.1</v>
      </c>
      <c r="BG17">
        <v>144.30000000000001</v>
      </c>
      <c r="BH17">
        <v>145.30000000000001</v>
      </c>
      <c r="BI17">
        <v>146.1</v>
      </c>
      <c r="BJ17">
        <v>147.19999999999999</v>
      </c>
      <c r="BK17">
        <v>148.19999999999999</v>
      </c>
      <c r="BL17">
        <v>148</v>
      </c>
      <c r="BM17">
        <v>148.30000000000001</v>
      </c>
      <c r="BN17">
        <v>148.69999999999999</v>
      </c>
      <c r="BO17">
        <v>149.19999999999999</v>
      </c>
      <c r="BP17">
        <v>150.1</v>
      </c>
      <c r="BQ17">
        <v>150.80000000000001</v>
      </c>
      <c r="BR17">
        <v>151.30000000000001</v>
      </c>
      <c r="BS17">
        <v>151.5</v>
      </c>
      <c r="BT17">
        <v>152.1</v>
      </c>
      <c r="BU17">
        <v>152.1</v>
      </c>
      <c r="BV17">
        <v>150.69999999999999</v>
      </c>
      <c r="BW17">
        <v>151.69999999999999</v>
      </c>
      <c r="BX17">
        <v>151.6</v>
      </c>
      <c r="BY17">
        <v>150.6</v>
      </c>
      <c r="BZ17">
        <v>150.5</v>
      </c>
      <c r="CA17">
        <v>150.80000000000001</v>
      </c>
      <c r="CB17">
        <v>151.30000000000001</v>
      </c>
      <c r="CC17">
        <v>151.4</v>
      </c>
      <c r="CD17">
        <v>151.6</v>
      </c>
      <c r="CE17">
        <v>151.80000000000001</v>
      </c>
      <c r="CF17">
        <v>151.69999999999999</v>
      </c>
      <c r="CG17">
        <v>151.69999999999999</v>
      </c>
      <c r="CH17">
        <v>152.30000000000001</v>
      </c>
      <c r="CI17">
        <v>152.6</v>
      </c>
      <c r="CJ17">
        <v>152.80000000000001</v>
      </c>
      <c r="CK17">
        <v>153</v>
      </c>
      <c r="CL17">
        <v>153.4</v>
      </c>
      <c r="CM17" t="s">
        <v>32</v>
      </c>
      <c r="CN17" t="s">
        <v>32</v>
      </c>
      <c r="CO17">
        <v>154.69999999999999</v>
      </c>
      <c r="CP17">
        <v>154.69999999999999</v>
      </c>
      <c r="CQ17">
        <v>155.1</v>
      </c>
      <c r="CR17">
        <v>155.4</v>
      </c>
      <c r="CS17">
        <v>155.69999999999999</v>
      </c>
      <c r="CT17">
        <v>156.30000000000001</v>
      </c>
      <c r="CU17">
        <v>157</v>
      </c>
      <c r="CV17">
        <v>157.5</v>
      </c>
      <c r="CW17">
        <v>159.1</v>
      </c>
      <c r="CX17">
        <v>159.6</v>
      </c>
      <c r="CY17">
        <v>160.69999999999999</v>
      </c>
      <c r="CZ17">
        <v>165.3</v>
      </c>
      <c r="DA17">
        <v>165.3</v>
      </c>
      <c r="DB17">
        <v>166</v>
      </c>
      <c r="DC17">
        <v>167</v>
      </c>
      <c r="DD17">
        <v>167.7</v>
      </c>
      <c r="DE17">
        <v>168.9</v>
      </c>
      <c r="DF17">
        <v>170.4</v>
      </c>
      <c r="DG17">
        <v>171.8</v>
      </c>
      <c r="DH17">
        <v>173.2</v>
      </c>
      <c r="DI17">
        <v>174.1</v>
      </c>
      <c r="DJ17">
        <v>175.4</v>
      </c>
      <c r="DK17">
        <v>177.5</v>
      </c>
      <c r="DL17">
        <v>179.3</v>
      </c>
      <c r="DM17">
        <v>180.7</v>
      </c>
      <c r="DN17">
        <v>182</v>
      </c>
      <c r="DO17">
        <v>183.2</v>
      </c>
      <c r="DP17">
        <v>184.7</v>
      </c>
      <c r="DQ17">
        <v>186.1</v>
      </c>
      <c r="DR17">
        <v>187.2</v>
      </c>
      <c r="DS17">
        <v>188.1</v>
      </c>
      <c r="DT17">
        <v>189</v>
      </c>
      <c r="DU17">
        <v>190</v>
      </c>
      <c r="DV17">
        <v>190</v>
      </c>
      <c r="DW17">
        <v>190.7</v>
      </c>
      <c r="DX17">
        <v>191.2</v>
      </c>
    </row>
    <row r="18" spans="1:128" x14ac:dyDescent="0.3">
      <c r="A18" s="173" t="s">
        <v>18</v>
      </c>
      <c r="B18" s="173" t="s">
        <v>17</v>
      </c>
      <c r="C18" s="170" t="s">
        <v>30</v>
      </c>
      <c r="E18">
        <v>105.8</v>
      </c>
      <c r="F18">
        <v>106.3</v>
      </c>
      <c r="G18">
        <v>106.8</v>
      </c>
      <c r="H18">
        <v>107.4</v>
      </c>
      <c r="I18">
        <v>107.9</v>
      </c>
      <c r="J18">
        <v>108.8</v>
      </c>
      <c r="K18">
        <v>109.5</v>
      </c>
      <c r="L18">
        <v>110.2</v>
      </c>
      <c r="M18">
        <v>111.4</v>
      </c>
      <c r="N18">
        <v>112.3</v>
      </c>
      <c r="O18">
        <v>113.1</v>
      </c>
      <c r="P18">
        <v>114</v>
      </c>
      <c r="Q18">
        <v>114.5</v>
      </c>
      <c r="R18">
        <v>114.5</v>
      </c>
      <c r="S18">
        <v>114.9</v>
      </c>
      <c r="T18">
        <v>116.1</v>
      </c>
      <c r="U18">
        <v>116.8</v>
      </c>
      <c r="V18">
        <v>117.3</v>
      </c>
      <c r="W18">
        <v>118.3</v>
      </c>
      <c r="X18">
        <v>118.8</v>
      </c>
      <c r="Y18">
        <v>119.2</v>
      </c>
      <c r="Z18">
        <v>120.3</v>
      </c>
      <c r="AA18">
        <v>120.5</v>
      </c>
      <c r="AB18">
        <v>120.6</v>
      </c>
      <c r="AC18">
        <v>121.6</v>
      </c>
      <c r="AD18">
        <v>122.7</v>
      </c>
      <c r="AE18">
        <v>122.9</v>
      </c>
      <c r="AF18">
        <v>123.3</v>
      </c>
      <c r="AG18">
        <v>124.1</v>
      </c>
      <c r="AH18">
        <v>125.1</v>
      </c>
      <c r="AI18">
        <v>125.5</v>
      </c>
      <c r="AJ18">
        <v>126.3</v>
      </c>
      <c r="AK18">
        <v>126.8</v>
      </c>
      <c r="AL18">
        <v>127.3</v>
      </c>
      <c r="AM18">
        <v>128.19999999999999</v>
      </c>
      <c r="AN18">
        <v>128.5</v>
      </c>
      <c r="AO18">
        <v>128.9</v>
      </c>
      <c r="AP18">
        <v>129.80000000000001</v>
      </c>
      <c r="AQ18">
        <v>130.19999999999999</v>
      </c>
      <c r="AR18">
        <v>130.6</v>
      </c>
      <c r="AS18">
        <v>131.1</v>
      </c>
      <c r="AT18">
        <v>131.6</v>
      </c>
      <c r="AU18">
        <v>132.19999999999999</v>
      </c>
      <c r="AV18">
        <v>133</v>
      </c>
      <c r="AW18">
        <v>133.5</v>
      </c>
      <c r="AX18">
        <v>134.30000000000001</v>
      </c>
      <c r="AY18">
        <v>134.5</v>
      </c>
      <c r="AZ18">
        <v>135.19999999999999</v>
      </c>
      <c r="BA18">
        <v>135.80000000000001</v>
      </c>
      <c r="BB18">
        <v>135.80000000000001</v>
      </c>
      <c r="BC18">
        <v>136.19999999999999</v>
      </c>
      <c r="BD18">
        <v>136.80000000000001</v>
      </c>
      <c r="BE18">
        <v>137.30000000000001</v>
      </c>
      <c r="BF18">
        <v>137.69999999999999</v>
      </c>
      <c r="BG18">
        <v>138.1</v>
      </c>
      <c r="BH18">
        <v>139.19999999999999</v>
      </c>
      <c r="BI18">
        <v>139.69999999999999</v>
      </c>
      <c r="BJ18">
        <v>140.6</v>
      </c>
      <c r="BK18">
        <v>141.5</v>
      </c>
      <c r="BL18">
        <v>141.9</v>
      </c>
      <c r="BM18">
        <v>142.30000000000001</v>
      </c>
      <c r="BN18">
        <v>142.4</v>
      </c>
      <c r="BO18">
        <v>143</v>
      </c>
      <c r="BP18">
        <v>143.30000000000001</v>
      </c>
      <c r="BQ18">
        <v>144.1</v>
      </c>
      <c r="BR18">
        <v>144.69999999999999</v>
      </c>
      <c r="BS18">
        <v>145.1</v>
      </c>
      <c r="BT18">
        <v>145.80000000000001</v>
      </c>
      <c r="BU18">
        <v>146.1</v>
      </c>
      <c r="BV18">
        <v>144.5</v>
      </c>
      <c r="BW18">
        <v>145.5</v>
      </c>
      <c r="BX18">
        <v>145.9</v>
      </c>
      <c r="BY18">
        <v>145.1</v>
      </c>
      <c r="BZ18">
        <v>146.1</v>
      </c>
      <c r="CA18">
        <v>146.1</v>
      </c>
      <c r="CB18">
        <v>146.6</v>
      </c>
      <c r="CC18">
        <v>146.5</v>
      </c>
      <c r="CD18">
        <v>146.6</v>
      </c>
      <c r="CE18">
        <v>146.6</v>
      </c>
      <c r="CF18">
        <v>146.6</v>
      </c>
      <c r="CG18">
        <v>146.69999999999999</v>
      </c>
      <c r="CH18">
        <v>147</v>
      </c>
      <c r="CI18">
        <v>147.30000000000001</v>
      </c>
      <c r="CJ18">
        <v>147.4</v>
      </c>
      <c r="CK18">
        <v>147.5</v>
      </c>
      <c r="CL18">
        <v>147.6</v>
      </c>
      <c r="CM18" t="s">
        <v>32</v>
      </c>
      <c r="CN18" t="s">
        <v>32</v>
      </c>
      <c r="CO18">
        <v>150</v>
      </c>
      <c r="CP18">
        <v>150</v>
      </c>
      <c r="CQ18">
        <v>149.30000000000001</v>
      </c>
      <c r="CR18">
        <v>149.9</v>
      </c>
      <c r="CS18">
        <v>150.6</v>
      </c>
      <c r="CT18">
        <v>151</v>
      </c>
      <c r="CU18">
        <v>151.6</v>
      </c>
      <c r="CV18">
        <v>152.4</v>
      </c>
      <c r="CW18">
        <v>153.9</v>
      </c>
      <c r="CX18">
        <v>154.4</v>
      </c>
      <c r="CY18">
        <v>155.1</v>
      </c>
      <c r="CZ18">
        <v>160.6</v>
      </c>
      <c r="DA18">
        <v>159.9</v>
      </c>
      <c r="DB18">
        <v>161.1</v>
      </c>
      <c r="DC18">
        <v>162.6</v>
      </c>
      <c r="DD18">
        <v>163.6</v>
      </c>
      <c r="DE18">
        <v>164.8</v>
      </c>
      <c r="DF18">
        <v>166</v>
      </c>
      <c r="DG18">
        <v>167.3</v>
      </c>
      <c r="DH18">
        <v>169.3</v>
      </c>
      <c r="DI18">
        <v>171</v>
      </c>
      <c r="DJ18">
        <v>173.2</v>
      </c>
      <c r="DK18">
        <v>175.1</v>
      </c>
      <c r="DL18">
        <v>177.2</v>
      </c>
      <c r="DM18">
        <v>178.7</v>
      </c>
      <c r="DN18">
        <v>180.3</v>
      </c>
      <c r="DO18">
        <v>181.7</v>
      </c>
      <c r="DP18">
        <v>183.3</v>
      </c>
      <c r="DQ18">
        <v>184.4</v>
      </c>
      <c r="DR18">
        <v>185.2</v>
      </c>
      <c r="DS18">
        <v>185.9</v>
      </c>
      <c r="DT18">
        <v>186.3</v>
      </c>
      <c r="DU18">
        <v>187</v>
      </c>
      <c r="DV18">
        <v>187</v>
      </c>
      <c r="DW18">
        <v>187.3</v>
      </c>
      <c r="DX18">
        <v>187.9</v>
      </c>
    </row>
    <row r="19" spans="1:128" x14ac:dyDescent="0.3">
      <c r="A19" s="173" t="s">
        <v>19</v>
      </c>
      <c r="B19" s="173" t="s">
        <v>17</v>
      </c>
      <c r="C19" s="170" t="s">
        <v>30</v>
      </c>
      <c r="E19">
        <v>106.4</v>
      </c>
      <c r="F19">
        <v>107</v>
      </c>
      <c r="G19">
        <v>107.5</v>
      </c>
      <c r="H19">
        <v>108</v>
      </c>
      <c r="I19">
        <v>108.6</v>
      </c>
      <c r="J19">
        <v>109.5</v>
      </c>
      <c r="K19">
        <v>110.3</v>
      </c>
      <c r="L19">
        <v>111.1</v>
      </c>
      <c r="M19">
        <v>112.5</v>
      </c>
      <c r="N19">
        <v>113.4</v>
      </c>
      <c r="O19">
        <v>114.4</v>
      </c>
      <c r="P19">
        <v>115.5</v>
      </c>
      <c r="Q19">
        <v>116.2</v>
      </c>
      <c r="R19">
        <v>116.7</v>
      </c>
      <c r="S19">
        <v>117.2</v>
      </c>
      <c r="T19">
        <v>117.8</v>
      </c>
      <c r="U19">
        <v>118.5</v>
      </c>
      <c r="V19">
        <v>119.3</v>
      </c>
      <c r="W19">
        <v>120.3</v>
      </c>
      <c r="X19">
        <v>120.7</v>
      </c>
      <c r="Y19">
        <v>121.3</v>
      </c>
      <c r="Z19">
        <v>122.3</v>
      </c>
      <c r="AA19">
        <v>122.9</v>
      </c>
      <c r="AB19">
        <v>123.3</v>
      </c>
      <c r="AC19">
        <v>124</v>
      </c>
      <c r="AD19">
        <v>125</v>
      </c>
      <c r="AE19">
        <v>125.5</v>
      </c>
      <c r="AF19">
        <v>126</v>
      </c>
      <c r="AG19">
        <v>126.8</v>
      </c>
      <c r="AH19">
        <v>128</v>
      </c>
      <c r="AI19">
        <v>128.30000000000001</v>
      </c>
      <c r="AJ19">
        <v>129</v>
      </c>
      <c r="AK19">
        <v>129.9</v>
      </c>
      <c r="AL19">
        <v>130.6</v>
      </c>
      <c r="AM19">
        <v>131.5</v>
      </c>
      <c r="AN19">
        <v>131.9</v>
      </c>
      <c r="AO19">
        <v>132.6</v>
      </c>
      <c r="AP19">
        <v>133.4</v>
      </c>
      <c r="AQ19">
        <v>133.80000000000001</v>
      </c>
      <c r="AR19">
        <v>134.4</v>
      </c>
      <c r="AS19">
        <v>134.80000000000001</v>
      </c>
      <c r="AT19">
        <v>135.6</v>
      </c>
      <c r="AU19">
        <v>136.5</v>
      </c>
      <c r="AV19">
        <v>137.1</v>
      </c>
      <c r="AW19">
        <v>137.80000000000001</v>
      </c>
      <c r="AX19">
        <v>138.80000000000001</v>
      </c>
      <c r="AY19">
        <v>139.19999999999999</v>
      </c>
      <c r="AZ19">
        <v>139.69999999999999</v>
      </c>
      <c r="BA19">
        <v>140</v>
      </c>
      <c r="BB19">
        <v>140.19999999999999</v>
      </c>
      <c r="BC19">
        <v>140.80000000000001</v>
      </c>
      <c r="BD19">
        <v>141.6</v>
      </c>
      <c r="BE19">
        <v>141.80000000000001</v>
      </c>
      <c r="BF19">
        <v>142.30000000000001</v>
      </c>
      <c r="BG19">
        <v>143.5</v>
      </c>
      <c r="BH19">
        <v>144.5</v>
      </c>
      <c r="BI19">
        <v>145.19999999999999</v>
      </c>
      <c r="BJ19">
        <v>146.19999999999999</v>
      </c>
      <c r="BK19">
        <v>147.30000000000001</v>
      </c>
      <c r="BL19">
        <v>147.19999999999999</v>
      </c>
      <c r="BM19">
        <v>147.5</v>
      </c>
      <c r="BN19">
        <v>147.80000000000001</v>
      </c>
      <c r="BO19">
        <v>148.30000000000001</v>
      </c>
      <c r="BP19">
        <v>149.1</v>
      </c>
      <c r="BQ19">
        <v>149.80000000000001</v>
      </c>
      <c r="BR19">
        <v>150.30000000000001</v>
      </c>
      <c r="BS19">
        <v>150.6</v>
      </c>
      <c r="BT19">
        <v>151.30000000000001</v>
      </c>
      <c r="BU19">
        <v>151.30000000000001</v>
      </c>
      <c r="BV19">
        <v>149.80000000000001</v>
      </c>
      <c r="BW19">
        <v>150.80000000000001</v>
      </c>
      <c r="BX19">
        <v>150.80000000000001</v>
      </c>
      <c r="BY19">
        <v>149.9</v>
      </c>
      <c r="BZ19">
        <v>149.9</v>
      </c>
      <c r="CA19">
        <v>150.1</v>
      </c>
      <c r="CB19">
        <v>150.69999999999999</v>
      </c>
      <c r="CC19">
        <v>150.69999999999999</v>
      </c>
      <c r="CD19">
        <v>150.9</v>
      </c>
      <c r="CE19">
        <v>151.1</v>
      </c>
      <c r="CF19">
        <v>151</v>
      </c>
      <c r="CG19">
        <v>151</v>
      </c>
      <c r="CH19">
        <v>151.5</v>
      </c>
      <c r="CI19">
        <v>151.9</v>
      </c>
      <c r="CJ19">
        <v>152.1</v>
      </c>
      <c r="CK19">
        <v>152.30000000000001</v>
      </c>
      <c r="CL19">
        <v>152.5</v>
      </c>
      <c r="CM19" t="s">
        <v>32</v>
      </c>
      <c r="CN19" t="s">
        <v>32</v>
      </c>
      <c r="CO19">
        <v>154.1</v>
      </c>
      <c r="CP19">
        <v>154.1</v>
      </c>
      <c r="CQ19">
        <v>154.30000000000001</v>
      </c>
      <c r="CR19">
        <v>154.6</v>
      </c>
      <c r="CS19">
        <v>155</v>
      </c>
      <c r="CT19">
        <v>155.5</v>
      </c>
      <c r="CU19">
        <v>156.30000000000001</v>
      </c>
      <c r="CV19">
        <v>156.80000000000001</v>
      </c>
      <c r="CW19">
        <v>158.4</v>
      </c>
      <c r="CX19">
        <v>158.9</v>
      </c>
      <c r="CY19">
        <v>159.9</v>
      </c>
      <c r="CZ19">
        <v>164.5</v>
      </c>
      <c r="DA19">
        <v>164.6</v>
      </c>
      <c r="DB19">
        <v>165.3</v>
      </c>
      <c r="DC19">
        <v>166.3</v>
      </c>
      <c r="DD19">
        <v>167.1</v>
      </c>
      <c r="DE19">
        <v>168.3</v>
      </c>
      <c r="DF19">
        <v>169.8</v>
      </c>
      <c r="DG19">
        <v>171.2</v>
      </c>
      <c r="DH19">
        <v>172.7</v>
      </c>
      <c r="DI19">
        <v>173.7</v>
      </c>
      <c r="DJ19">
        <v>175.1</v>
      </c>
      <c r="DK19">
        <v>177.1</v>
      </c>
      <c r="DL19">
        <v>179</v>
      </c>
      <c r="DM19">
        <v>180.4</v>
      </c>
      <c r="DN19">
        <v>181.7</v>
      </c>
      <c r="DO19">
        <v>183</v>
      </c>
      <c r="DP19">
        <v>184.5</v>
      </c>
      <c r="DQ19">
        <v>185.9</v>
      </c>
      <c r="DR19">
        <v>186.9</v>
      </c>
      <c r="DS19">
        <v>187.8</v>
      </c>
      <c r="DT19">
        <v>188.6</v>
      </c>
      <c r="DU19">
        <v>189.6</v>
      </c>
      <c r="DV19">
        <v>189.6</v>
      </c>
      <c r="DW19">
        <v>190.2</v>
      </c>
      <c r="DX19">
        <v>190.8</v>
      </c>
    </row>
    <row r="20" spans="1:128" x14ac:dyDescent="0.3">
      <c r="A20" s="174" t="s">
        <v>20</v>
      </c>
      <c r="B20" s="174" t="s">
        <v>20</v>
      </c>
      <c r="C20" s="170" t="s">
        <v>30</v>
      </c>
      <c r="E20" t="s">
        <v>32</v>
      </c>
      <c r="F20" t="s">
        <v>32</v>
      </c>
      <c r="G20" t="s">
        <v>32</v>
      </c>
      <c r="H20" t="s">
        <v>32</v>
      </c>
      <c r="I20" t="s">
        <v>32</v>
      </c>
      <c r="J20" t="s">
        <v>32</v>
      </c>
      <c r="K20" t="s">
        <v>32</v>
      </c>
      <c r="L20" t="s">
        <v>32</v>
      </c>
      <c r="M20" t="s">
        <v>32</v>
      </c>
      <c r="N20" t="s">
        <v>32</v>
      </c>
      <c r="O20" t="s">
        <v>32</v>
      </c>
      <c r="P20" t="s">
        <v>32</v>
      </c>
      <c r="Q20" t="s">
        <v>32</v>
      </c>
      <c r="R20" t="s">
        <v>32</v>
      </c>
      <c r="S20" t="s">
        <v>32</v>
      </c>
      <c r="T20" t="s">
        <v>32</v>
      </c>
      <c r="U20" t="s">
        <v>32</v>
      </c>
      <c r="V20" t="s">
        <v>32</v>
      </c>
      <c r="W20" t="s">
        <v>32</v>
      </c>
      <c r="X20" t="s">
        <v>32</v>
      </c>
      <c r="Y20" t="s">
        <v>32</v>
      </c>
      <c r="Z20" t="s">
        <v>32</v>
      </c>
      <c r="AA20" t="s">
        <v>32</v>
      </c>
      <c r="AB20" t="s">
        <v>32</v>
      </c>
      <c r="AC20" t="s">
        <v>32</v>
      </c>
      <c r="AD20" t="s">
        <v>32</v>
      </c>
      <c r="AE20" t="s">
        <v>32</v>
      </c>
      <c r="AF20" t="s">
        <v>32</v>
      </c>
      <c r="AG20" t="s">
        <v>32</v>
      </c>
      <c r="AH20" t="s">
        <v>32</v>
      </c>
      <c r="AI20" t="s">
        <v>32</v>
      </c>
      <c r="AJ20" t="s">
        <v>32</v>
      </c>
      <c r="AK20" t="s">
        <v>32</v>
      </c>
      <c r="AL20" t="s">
        <v>32</v>
      </c>
      <c r="AM20" t="s">
        <v>32</v>
      </c>
      <c r="AN20" t="s">
        <v>32</v>
      </c>
      <c r="AO20" t="s">
        <v>32</v>
      </c>
      <c r="AP20" t="s">
        <v>32</v>
      </c>
      <c r="AQ20" t="s">
        <v>32</v>
      </c>
      <c r="AR20" t="s">
        <v>32</v>
      </c>
      <c r="AS20" t="s">
        <v>32</v>
      </c>
      <c r="AT20" t="s">
        <v>32</v>
      </c>
      <c r="AU20" t="s">
        <v>32</v>
      </c>
      <c r="AV20" t="s">
        <v>32</v>
      </c>
      <c r="AW20" t="s">
        <v>32</v>
      </c>
      <c r="AX20" t="s">
        <v>32</v>
      </c>
      <c r="AY20" t="s">
        <v>32</v>
      </c>
      <c r="AZ20" t="s">
        <v>32</v>
      </c>
      <c r="BA20" t="s">
        <v>32</v>
      </c>
      <c r="BB20" t="s">
        <v>32</v>
      </c>
      <c r="BC20" t="s">
        <v>32</v>
      </c>
      <c r="BD20" t="s">
        <v>32</v>
      </c>
      <c r="BE20" t="s">
        <v>32</v>
      </c>
      <c r="BF20" t="s">
        <v>32</v>
      </c>
      <c r="BG20" t="s">
        <v>32</v>
      </c>
      <c r="BH20" t="s">
        <v>32</v>
      </c>
      <c r="BI20" t="s">
        <v>32</v>
      </c>
      <c r="BJ20" t="s">
        <v>32</v>
      </c>
      <c r="BK20" t="s">
        <v>32</v>
      </c>
      <c r="BL20" t="s">
        <v>32</v>
      </c>
      <c r="BM20" t="s">
        <v>32</v>
      </c>
      <c r="BN20" t="s">
        <v>32</v>
      </c>
      <c r="BO20" t="s">
        <v>32</v>
      </c>
      <c r="BP20" t="s">
        <v>32</v>
      </c>
      <c r="BQ20" t="s">
        <v>32</v>
      </c>
      <c r="BR20" t="s">
        <v>32</v>
      </c>
      <c r="BS20" t="s">
        <v>32</v>
      </c>
      <c r="BT20" t="s">
        <v>32</v>
      </c>
      <c r="BU20" t="s">
        <v>32</v>
      </c>
      <c r="BV20" t="s">
        <v>32</v>
      </c>
      <c r="BW20" t="s">
        <v>32</v>
      </c>
      <c r="BX20" t="s">
        <v>32</v>
      </c>
      <c r="BY20" t="s">
        <v>32</v>
      </c>
      <c r="BZ20" t="s">
        <v>32</v>
      </c>
      <c r="CA20" t="s">
        <v>32</v>
      </c>
      <c r="CB20" t="s">
        <v>32</v>
      </c>
      <c r="CC20" t="s">
        <v>32</v>
      </c>
      <c r="CD20" t="s">
        <v>32</v>
      </c>
      <c r="CE20" t="s">
        <v>32</v>
      </c>
      <c r="CF20" t="s">
        <v>32</v>
      </c>
      <c r="CG20" t="s">
        <v>32</v>
      </c>
      <c r="CH20" t="s">
        <v>32</v>
      </c>
      <c r="CI20" t="s">
        <v>32</v>
      </c>
      <c r="CJ20" t="s">
        <v>32</v>
      </c>
      <c r="CK20" t="s">
        <v>32</v>
      </c>
      <c r="CL20" t="s">
        <v>32</v>
      </c>
      <c r="CM20" t="s">
        <v>32</v>
      </c>
      <c r="CN20" t="s">
        <v>32</v>
      </c>
      <c r="CO20" t="s">
        <v>32</v>
      </c>
      <c r="CP20" t="s">
        <v>32</v>
      </c>
      <c r="CQ20" t="s">
        <v>32</v>
      </c>
      <c r="CR20" t="s">
        <v>32</v>
      </c>
      <c r="CS20" t="s">
        <v>32</v>
      </c>
      <c r="CT20" t="s">
        <v>32</v>
      </c>
      <c r="CU20" t="s">
        <v>32</v>
      </c>
      <c r="CV20" t="s">
        <v>32</v>
      </c>
      <c r="CW20" t="s">
        <v>32</v>
      </c>
      <c r="CX20" t="s">
        <v>48</v>
      </c>
      <c r="CY20" t="s">
        <v>48</v>
      </c>
      <c r="CZ20" t="s">
        <v>32</v>
      </c>
      <c r="DA20" t="s">
        <v>32</v>
      </c>
      <c r="DB20" t="s">
        <v>32</v>
      </c>
      <c r="DC20" t="s">
        <v>32</v>
      </c>
      <c r="DD20" t="s">
        <v>32</v>
      </c>
      <c r="DE20" t="s">
        <v>32</v>
      </c>
      <c r="DF20" t="s">
        <v>32</v>
      </c>
      <c r="DG20" t="s">
        <v>32</v>
      </c>
      <c r="DH20" t="s">
        <v>32</v>
      </c>
      <c r="DI20" t="s">
        <v>32</v>
      </c>
      <c r="DJ20" t="s">
        <v>32</v>
      </c>
      <c r="DK20" t="s">
        <v>32</v>
      </c>
      <c r="DL20" t="s">
        <v>32</v>
      </c>
      <c r="DM20" t="s">
        <v>32</v>
      </c>
      <c r="DN20" t="s">
        <v>32</v>
      </c>
      <c r="DO20" t="s">
        <v>32</v>
      </c>
      <c r="DP20" t="s">
        <v>32</v>
      </c>
      <c r="DQ20" t="s">
        <v>32</v>
      </c>
      <c r="DR20" t="s">
        <v>32</v>
      </c>
      <c r="DS20" t="s">
        <v>32</v>
      </c>
      <c r="DT20" t="s">
        <v>32</v>
      </c>
      <c r="DU20" t="s">
        <v>32</v>
      </c>
      <c r="DV20" t="s">
        <v>32</v>
      </c>
      <c r="DW20" t="s">
        <v>48</v>
      </c>
      <c r="DX20" t="s">
        <v>48</v>
      </c>
    </row>
    <row r="21" spans="1:128" x14ac:dyDescent="0.3">
      <c r="A21" s="175" t="s">
        <v>21</v>
      </c>
      <c r="B21" s="175" t="s">
        <v>68</v>
      </c>
      <c r="C21" s="170" t="s">
        <v>30</v>
      </c>
      <c r="E21">
        <v>105.5</v>
      </c>
      <c r="F21">
        <v>106.2</v>
      </c>
      <c r="G21">
        <v>106.1</v>
      </c>
      <c r="H21">
        <v>106.5</v>
      </c>
      <c r="I21">
        <v>107.5</v>
      </c>
      <c r="J21">
        <v>108.5</v>
      </c>
      <c r="K21">
        <v>109.5</v>
      </c>
      <c r="L21">
        <v>109.9</v>
      </c>
      <c r="M21">
        <v>111.1</v>
      </c>
      <c r="N21">
        <v>111.6</v>
      </c>
      <c r="O21">
        <v>112.6</v>
      </c>
      <c r="P21">
        <v>112.8</v>
      </c>
      <c r="Q21">
        <v>113</v>
      </c>
      <c r="R21">
        <v>113.2</v>
      </c>
      <c r="S21">
        <v>113.4</v>
      </c>
      <c r="T21">
        <v>113.4</v>
      </c>
      <c r="U21">
        <v>113.4</v>
      </c>
      <c r="V21">
        <v>114.4</v>
      </c>
      <c r="W21">
        <v>115.3</v>
      </c>
      <c r="X21">
        <v>115.4</v>
      </c>
      <c r="Y21">
        <v>115.8</v>
      </c>
      <c r="Z21">
        <v>116.4</v>
      </c>
      <c r="AA21">
        <v>117.3</v>
      </c>
      <c r="AB21">
        <v>117.4</v>
      </c>
      <c r="AC21">
        <v>118.4</v>
      </c>
      <c r="AD21">
        <v>120</v>
      </c>
      <c r="AE21">
        <v>120.6</v>
      </c>
      <c r="AF21">
        <v>121.2</v>
      </c>
      <c r="AG21">
        <v>121.9</v>
      </c>
      <c r="AH21">
        <v>122.6</v>
      </c>
      <c r="AI21">
        <v>123</v>
      </c>
      <c r="AJ21">
        <v>123.8</v>
      </c>
      <c r="AK21">
        <v>123.7</v>
      </c>
      <c r="AL21">
        <v>124.4</v>
      </c>
      <c r="AM21">
        <v>125.6</v>
      </c>
      <c r="AN21">
        <v>125.7</v>
      </c>
      <c r="AO21">
        <v>126.2</v>
      </c>
      <c r="AP21">
        <v>127.5</v>
      </c>
      <c r="AQ21">
        <v>127</v>
      </c>
      <c r="AR21">
        <v>127</v>
      </c>
      <c r="AS21">
        <v>127.4</v>
      </c>
      <c r="AT21">
        <v>128</v>
      </c>
      <c r="AU21">
        <v>128.19999999999999</v>
      </c>
      <c r="AV21">
        <v>129.1</v>
      </c>
      <c r="AW21">
        <v>129.69999999999999</v>
      </c>
      <c r="AX21">
        <v>129.80000000000001</v>
      </c>
      <c r="AY21">
        <v>130.30000000000001</v>
      </c>
      <c r="AZ21">
        <v>132</v>
      </c>
      <c r="BA21">
        <v>132.1</v>
      </c>
      <c r="BB21">
        <v>133.19999999999999</v>
      </c>
      <c r="BC21">
        <v>134.19999999999999</v>
      </c>
      <c r="BD21">
        <v>135</v>
      </c>
      <c r="BE21">
        <v>135</v>
      </c>
      <c r="BF21">
        <v>134.80000000000001</v>
      </c>
      <c r="BG21">
        <v>135.30000000000001</v>
      </c>
      <c r="BH21">
        <v>136.4</v>
      </c>
      <c r="BI21">
        <v>137.4</v>
      </c>
      <c r="BJ21">
        <v>138.1</v>
      </c>
      <c r="BK21">
        <v>141.1</v>
      </c>
      <c r="BL21">
        <v>142.6</v>
      </c>
      <c r="BM21">
        <v>142.30000000000001</v>
      </c>
      <c r="BN21">
        <v>142.4</v>
      </c>
      <c r="BO21">
        <v>142.6</v>
      </c>
      <c r="BP21">
        <v>143.80000000000001</v>
      </c>
      <c r="BQ21">
        <v>144.30000000000001</v>
      </c>
      <c r="BR21">
        <v>145.1</v>
      </c>
      <c r="BS21">
        <v>146.80000000000001</v>
      </c>
      <c r="BT21">
        <v>147.69999999999999</v>
      </c>
      <c r="BU21">
        <v>149</v>
      </c>
      <c r="BV21">
        <v>149.69999999999999</v>
      </c>
      <c r="BW21">
        <v>150.30000000000001</v>
      </c>
      <c r="BX21">
        <v>149</v>
      </c>
      <c r="BY21">
        <v>146.19999999999999</v>
      </c>
      <c r="BZ21">
        <v>145.30000000000001</v>
      </c>
      <c r="CA21">
        <v>146.4</v>
      </c>
      <c r="CB21">
        <v>146.9</v>
      </c>
      <c r="CC21">
        <v>147.80000000000001</v>
      </c>
      <c r="CD21">
        <v>146.80000000000001</v>
      </c>
      <c r="CE21">
        <v>146.4</v>
      </c>
      <c r="CF21">
        <v>146.9</v>
      </c>
      <c r="CG21">
        <v>147.69999999999999</v>
      </c>
      <c r="CH21">
        <v>148.4</v>
      </c>
      <c r="CI21">
        <v>149.9</v>
      </c>
      <c r="CJ21">
        <v>150.4</v>
      </c>
      <c r="CK21">
        <v>152.30000000000001</v>
      </c>
      <c r="CL21">
        <v>153.4</v>
      </c>
      <c r="CM21">
        <v>148.4</v>
      </c>
      <c r="CN21" t="s">
        <v>32</v>
      </c>
      <c r="CO21">
        <v>144.9</v>
      </c>
      <c r="CP21">
        <v>144.9</v>
      </c>
      <c r="CQ21">
        <v>145.80000000000001</v>
      </c>
      <c r="CR21">
        <v>146.4</v>
      </c>
      <c r="CS21">
        <v>146.80000000000001</v>
      </c>
      <c r="CT21">
        <v>147.5</v>
      </c>
      <c r="CU21">
        <v>148.69999999999999</v>
      </c>
      <c r="CV21">
        <v>150.9</v>
      </c>
      <c r="CW21">
        <v>154.4</v>
      </c>
      <c r="CX21">
        <v>156</v>
      </c>
      <c r="CY21">
        <v>156</v>
      </c>
      <c r="CZ21">
        <v>161.69999999999999</v>
      </c>
      <c r="DA21">
        <v>162.1</v>
      </c>
      <c r="DB21">
        <v>162.5</v>
      </c>
      <c r="DC21">
        <v>163.1</v>
      </c>
      <c r="DD21">
        <v>163.69999999999999</v>
      </c>
      <c r="DE21">
        <v>165.5</v>
      </c>
      <c r="DF21">
        <v>165.3</v>
      </c>
      <c r="DG21">
        <v>165.6</v>
      </c>
      <c r="DH21">
        <v>165.8</v>
      </c>
      <c r="DI21">
        <v>167.4</v>
      </c>
      <c r="DJ21">
        <v>168.9</v>
      </c>
      <c r="DK21">
        <v>173.3</v>
      </c>
      <c r="DL21">
        <v>175.3</v>
      </c>
      <c r="DM21">
        <v>176.7</v>
      </c>
      <c r="DN21">
        <v>179.6</v>
      </c>
      <c r="DO21">
        <v>179.1</v>
      </c>
      <c r="DP21">
        <v>179.7</v>
      </c>
      <c r="DQ21">
        <v>180.8</v>
      </c>
      <c r="DR21">
        <v>181.9</v>
      </c>
      <c r="DS21">
        <v>182.8</v>
      </c>
      <c r="DT21">
        <v>183.2</v>
      </c>
      <c r="DU21">
        <v>181.6</v>
      </c>
      <c r="DV21">
        <v>181.4</v>
      </c>
      <c r="DW21">
        <v>181.5</v>
      </c>
      <c r="DX21">
        <v>182.5</v>
      </c>
    </row>
    <row r="22" spans="1:128" x14ac:dyDescent="0.3">
      <c r="A22" s="174" t="s">
        <v>22</v>
      </c>
      <c r="B22" s="174" t="s">
        <v>20</v>
      </c>
      <c r="C22" s="170" t="s">
        <v>30</v>
      </c>
      <c r="E22">
        <v>104.8</v>
      </c>
      <c r="F22">
        <v>105.2</v>
      </c>
      <c r="G22">
        <v>105.6</v>
      </c>
      <c r="H22">
        <v>106.1</v>
      </c>
      <c r="I22">
        <v>106.8</v>
      </c>
      <c r="J22">
        <v>107.5</v>
      </c>
      <c r="K22">
        <v>108.3</v>
      </c>
      <c r="L22">
        <v>108.7</v>
      </c>
      <c r="M22">
        <v>109.6</v>
      </c>
      <c r="N22">
        <v>110.4</v>
      </c>
      <c r="O22">
        <v>111.3</v>
      </c>
      <c r="P22">
        <v>112.1</v>
      </c>
      <c r="Q22">
        <v>112.6</v>
      </c>
      <c r="R22">
        <v>112.9</v>
      </c>
      <c r="S22">
        <v>113.4</v>
      </c>
      <c r="T22">
        <v>113.7</v>
      </c>
      <c r="U22">
        <v>114.1</v>
      </c>
      <c r="V22">
        <v>114.9</v>
      </c>
      <c r="W22">
        <v>115.4</v>
      </c>
      <c r="X22">
        <v>115.9</v>
      </c>
      <c r="Y22">
        <v>116.7</v>
      </c>
      <c r="Z22">
        <v>117.5</v>
      </c>
      <c r="AA22">
        <v>118.1</v>
      </c>
      <c r="AB22">
        <v>118.2</v>
      </c>
      <c r="AC22">
        <v>118.9</v>
      </c>
      <c r="AD22">
        <v>119.6</v>
      </c>
      <c r="AE22">
        <v>120.2</v>
      </c>
      <c r="AF22">
        <v>120.9</v>
      </c>
      <c r="AG22">
        <v>121.5</v>
      </c>
      <c r="AH22">
        <v>122.8</v>
      </c>
      <c r="AI22">
        <v>123</v>
      </c>
      <c r="AJ22">
        <v>123.7</v>
      </c>
      <c r="AK22">
        <v>124.5</v>
      </c>
      <c r="AL22">
        <v>125.1</v>
      </c>
      <c r="AM22">
        <v>125.6</v>
      </c>
      <c r="AN22">
        <v>126</v>
      </c>
      <c r="AO22">
        <v>126.6</v>
      </c>
      <c r="AP22">
        <v>127.1</v>
      </c>
      <c r="AQ22">
        <v>127.7</v>
      </c>
      <c r="AR22">
        <v>128</v>
      </c>
      <c r="AS22">
        <v>128.5</v>
      </c>
      <c r="AT22">
        <v>129.30000000000001</v>
      </c>
      <c r="AU22">
        <v>130</v>
      </c>
      <c r="AV22">
        <v>130.6</v>
      </c>
      <c r="AW22">
        <v>131.1</v>
      </c>
      <c r="AX22">
        <v>131.80000000000001</v>
      </c>
      <c r="AY22">
        <v>132.1</v>
      </c>
      <c r="AZ22">
        <v>132.9</v>
      </c>
      <c r="BA22">
        <v>133.19999999999999</v>
      </c>
      <c r="BB22">
        <v>133.6</v>
      </c>
      <c r="BC22">
        <v>134.1</v>
      </c>
      <c r="BD22">
        <v>134.30000000000001</v>
      </c>
      <c r="BE22">
        <v>134.9</v>
      </c>
      <c r="BF22">
        <v>135.19999999999999</v>
      </c>
      <c r="BG22">
        <v>136.1</v>
      </c>
      <c r="BH22">
        <v>137.30000000000001</v>
      </c>
      <c r="BI22">
        <v>137.9</v>
      </c>
      <c r="BJ22">
        <v>138.4</v>
      </c>
      <c r="BK22">
        <v>139.4</v>
      </c>
      <c r="BL22">
        <v>139.5</v>
      </c>
      <c r="BM22">
        <v>139.80000000000001</v>
      </c>
      <c r="BN22">
        <v>139.9</v>
      </c>
      <c r="BO22">
        <v>139.9</v>
      </c>
      <c r="BP22">
        <v>140.9</v>
      </c>
      <c r="BQ22">
        <v>141.80000000000001</v>
      </c>
      <c r="BR22">
        <v>142.19999999999999</v>
      </c>
      <c r="BS22">
        <v>143.1</v>
      </c>
      <c r="BT22">
        <v>143.80000000000001</v>
      </c>
      <c r="BU22">
        <v>144</v>
      </c>
      <c r="BV22">
        <v>147.5</v>
      </c>
      <c r="BW22">
        <v>148</v>
      </c>
      <c r="BX22">
        <v>149.5</v>
      </c>
      <c r="BY22">
        <v>150.1</v>
      </c>
      <c r="BZ22">
        <v>150.1</v>
      </c>
      <c r="CA22">
        <v>150</v>
      </c>
      <c r="CB22">
        <v>149.5</v>
      </c>
      <c r="CC22">
        <v>149.6</v>
      </c>
      <c r="CD22">
        <v>150</v>
      </c>
      <c r="CE22">
        <v>150.19999999999999</v>
      </c>
      <c r="CF22">
        <v>150.30000000000001</v>
      </c>
      <c r="CG22">
        <v>150.6</v>
      </c>
      <c r="CH22">
        <v>150.9</v>
      </c>
      <c r="CI22">
        <v>151.19999999999999</v>
      </c>
      <c r="CJ22">
        <v>151.69999999999999</v>
      </c>
      <c r="CK22">
        <v>151.80000000000001</v>
      </c>
      <c r="CL22">
        <v>151.5</v>
      </c>
      <c r="CM22" t="s">
        <v>32</v>
      </c>
      <c r="CN22" t="s">
        <v>32</v>
      </c>
      <c r="CO22">
        <v>151.69999999999999</v>
      </c>
      <c r="CP22">
        <v>151.69999999999999</v>
      </c>
      <c r="CQ22">
        <v>151.9</v>
      </c>
      <c r="CR22">
        <v>151.6</v>
      </c>
      <c r="CS22">
        <v>152</v>
      </c>
      <c r="CT22">
        <v>152.80000000000001</v>
      </c>
      <c r="CU22">
        <v>153.4</v>
      </c>
      <c r="CV22">
        <v>153.9</v>
      </c>
      <c r="CW22">
        <v>154.80000000000001</v>
      </c>
      <c r="CX22">
        <v>154.80000000000001</v>
      </c>
      <c r="CY22">
        <v>155.5</v>
      </c>
      <c r="CZ22">
        <v>158.80000000000001</v>
      </c>
      <c r="DA22">
        <v>159.19999999999999</v>
      </c>
      <c r="DB22">
        <v>160.30000000000001</v>
      </c>
      <c r="DC22">
        <v>160.9</v>
      </c>
      <c r="DD22">
        <v>161.30000000000001</v>
      </c>
      <c r="DE22">
        <v>162</v>
      </c>
      <c r="DF22">
        <v>162.9</v>
      </c>
      <c r="DG22">
        <v>163.9</v>
      </c>
      <c r="DH22">
        <v>164.9</v>
      </c>
      <c r="DI22">
        <v>165.7</v>
      </c>
      <c r="DJ22">
        <v>166.5</v>
      </c>
      <c r="DK22">
        <v>167.7</v>
      </c>
      <c r="DL22">
        <v>168.9</v>
      </c>
      <c r="DM22">
        <v>170.3</v>
      </c>
      <c r="DN22">
        <v>171.3</v>
      </c>
      <c r="DO22">
        <v>172.3</v>
      </c>
      <c r="DP22">
        <v>173.6</v>
      </c>
      <c r="DQ22">
        <v>174.4</v>
      </c>
      <c r="DR22">
        <v>175.5</v>
      </c>
      <c r="DS22">
        <v>176.4</v>
      </c>
      <c r="DT22">
        <v>177.2</v>
      </c>
      <c r="DU22">
        <v>178.6</v>
      </c>
      <c r="DV22">
        <v>178.6</v>
      </c>
      <c r="DW22">
        <v>179.1</v>
      </c>
      <c r="DX22">
        <v>179.8</v>
      </c>
    </row>
    <row r="23" spans="1:128" x14ac:dyDescent="0.3">
      <c r="A23" s="176" t="s">
        <v>23</v>
      </c>
      <c r="B23" s="176" t="s">
        <v>23</v>
      </c>
      <c r="C23" s="170" t="s">
        <v>30</v>
      </c>
      <c r="E23">
        <v>104</v>
      </c>
      <c r="F23">
        <v>104.4</v>
      </c>
      <c r="G23">
        <v>104.7</v>
      </c>
      <c r="H23">
        <v>105.1</v>
      </c>
      <c r="I23">
        <v>105.7</v>
      </c>
      <c r="J23">
        <v>106.3</v>
      </c>
      <c r="K23">
        <v>106.9</v>
      </c>
      <c r="L23">
        <v>107.5</v>
      </c>
      <c r="M23">
        <v>108.3</v>
      </c>
      <c r="N23">
        <v>108.9</v>
      </c>
      <c r="O23">
        <v>109.7</v>
      </c>
      <c r="P23">
        <v>110.1</v>
      </c>
      <c r="Q23">
        <v>110.6</v>
      </c>
      <c r="R23">
        <v>110.9</v>
      </c>
      <c r="S23">
        <v>111.4</v>
      </c>
      <c r="T23">
        <v>111.8</v>
      </c>
      <c r="U23">
        <v>112.1</v>
      </c>
      <c r="V23">
        <v>112.8</v>
      </c>
      <c r="W23">
        <v>113.4</v>
      </c>
      <c r="X23">
        <v>114</v>
      </c>
      <c r="Y23">
        <v>114.5</v>
      </c>
      <c r="Z23">
        <v>115.3</v>
      </c>
      <c r="AA23">
        <v>115.9</v>
      </c>
      <c r="AB23">
        <v>116.2</v>
      </c>
      <c r="AC23">
        <v>116.6</v>
      </c>
      <c r="AD23">
        <v>117.7</v>
      </c>
      <c r="AE23">
        <v>118.2</v>
      </c>
      <c r="AF23">
        <v>118.6</v>
      </c>
      <c r="AG23">
        <v>119.4</v>
      </c>
      <c r="AH23">
        <v>120.4</v>
      </c>
      <c r="AI23">
        <v>120.8</v>
      </c>
      <c r="AJ23">
        <v>121.1</v>
      </c>
      <c r="AK23">
        <v>121.4</v>
      </c>
      <c r="AL23">
        <v>122</v>
      </c>
      <c r="AM23">
        <v>122.6</v>
      </c>
      <c r="AN23">
        <v>123.1</v>
      </c>
      <c r="AO23">
        <v>123.7</v>
      </c>
      <c r="AP23">
        <v>124.3</v>
      </c>
      <c r="AQ23">
        <v>124.8</v>
      </c>
      <c r="AR23">
        <v>125.2</v>
      </c>
      <c r="AS23">
        <v>125.8</v>
      </c>
      <c r="AT23">
        <v>126.2</v>
      </c>
      <c r="AU23">
        <v>126.7</v>
      </c>
      <c r="AV23">
        <v>127</v>
      </c>
      <c r="AW23">
        <v>127.8</v>
      </c>
      <c r="AX23">
        <v>128.69999999999999</v>
      </c>
      <c r="AY23">
        <v>129.1</v>
      </c>
      <c r="AZ23">
        <v>129.69999999999999</v>
      </c>
      <c r="BA23">
        <v>129.9</v>
      </c>
      <c r="BB23">
        <v>130.1</v>
      </c>
      <c r="BC23">
        <v>130.6</v>
      </c>
      <c r="BD23">
        <v>131</v>
      </c>
      <c r="BE23">
        <v>131.4</v>
      </c>
      <c r="BF23">
        <v>131.30000000000001</v>
      </c>
      <c r="BG23">
        <v>132.1</v>
      </c>
      <c r="BH23">
        <v>133</v>
      </c>
      <c r="BI23">
        <v>133.4</v>
      </c>
      <c r="BJ23">
        <v>134.19999999999999</v>
      </c>
      <c r="BK23">
        <v>135.80000000000001</v>
      </c>
      <c r="BL23">
        <v>136.1</v>
      </c>
      <c r="BM23">
        <v>136</v>
      </c>
      <c r="BN23">
        <v>136.19999999999999</v>
      </c>
      <c r="BO23">
        <v>136.69999999999999</v>
      </c>
      <c r="BP23">
        <v>137.6</v>
      </c>
      <c r="BQ23">
        <v>138.4</v>
      </c>
      <c r="BR23">
        <v>138.4</v>
      </c>
      <c r="BS23">
        <v>139</v>
      </c>
      <c r="BT23">
        <v>139.4</v>
      </c>
      <c r="BU23">
        <v>140</v>
      </c>
      <c r="BV23">
        <v>144.80000000000001</v>
      </c>
      <c r="BW23">
        <v>145.4</v>
      </c>
      <c r="BX23">
        <v>149.6</v>
      </c>
      <c r="BY23">
        <v>149.6</v>
      </c>
      <c r="BZ23">
        <v>149.9</v>
      </c>
      <c r="CA23">
        <v>150.4</v>
      </c>
      <c r="CB23">
        <v>151.30000000000001</v>
      </c>
      <c r="CC23">
        <v>151.69999999999999</v>
      </c>
      <c r="CD23">
        <v>152.19999999999999</v>
      </c>
      <c r="CE23">
        <v>152.69999999999999</v>
      </c>
      <c r="CF23">
        <v>153.4</v>
      </c>
      <c r="CG23">
        <v>153.69999999999999</v>
      </c>
      <c r="CH23">
        <v>154.30000000000001</v>
      </c>
      <c r="CI23">
        <v>154.80000000000001</v>
      </c>
      <c r="CJ23">
        <v>155.69999999999999</v>
      </c>
      <c r="CK23">
        <v>156.19999999999999</v>
      </c>
      <c r="CL23">
        <v>156.69999999999999</v>
      </c>
      <c r="CM23">
        <v>154.30000000000001</v>
      </c>
      <c r="CN23" t="s">
        <v>32</v>
      </c>
      <c r="CO23">
        <v>158.19999999999999</v>
      </c>
      <c r="CP23">
        <v>158.19999999999999</v>
      </c>
      <c r="CQ23">
        <v>158.80000000000001</v>
      </c>
      <c r="CR23">
        <v>159.1</v>
      </c>
      <c r="CS23">
        <v>159.5</v>
      </c>
      <c r="CT23">
        <v>160.4</v>
      </c>
      <c r="CU23">
        <v>161.6</v>
      </c>
      <c r="CV23">
        <v>162.5</v>
      </c>
      <c r="CW23">
        <v>164.3</v>
      </c>
      <c r="CX23">
        <v>164.6</v>
      </c>
      <c r="CY23">
        <v>165.3</v>
      </c>
      <c r="CZ23">
        <v>169.1</v>
      </c>
      <c r="DA23">
        <v>169.7</v>
      </c>
      <c r="DB23">
        <v>170.4</v>
      </c>
      <c r="DC23">
        <v>171.1</v>
      </c>
      <c r="DD23">
        <v>171.9</v>
      </c>
      <c r="DE23">
        <v>172.5</v>
      </c>
      <c r="DF23">
        <v>173.4</v>
      </c>
      <c r="DG23">
        <v>174</v>
      </c>
      <c r="DH23">
        <v>174.7</v>
      </c>
      <c r="DI23">
        <v>175.3</v>
      </c>
      <c r="DJ23">
        <v>176</v>
      </c>
      <c r="DK23">
        <v>177</v>
      </c>
      <c r="DL23">
        <v>177.7</v>
      </c>
      <c r="DM23">
        <v>178.2</v>
      </c>
      <c r="DN23">
        <v>178.8</v>
      </c>
      <c r="DO23">
        <v>179.4</v>
      </c>
      <c r="DP23">
        <v>180.2</v>
      </c>
      <c r="DQ23">
        <v>181.2</v>
      </c>
      <c r="DR23">
        <v>182.3</v>
      </c>
      <c r="DS23">
        <v>183.5</v>
      </c>
      <c r="DT23">
        <v>184.7</v>
      </c>
      <c r="DU23">
        <v>186.6</v>
      </c>
      <c r="DV23">
        <v>186.6</v>
      </c>
      <c r="DW23">
        <v>187.2</v>
      </c>
      <c r="DX23">
        <v>187.8</v>
      </c>
    </row>
    <row r="24" spans="1:128" x14ac:dyDescent="0.3">
      <c r="A24" s="175" t="s">
        <v>24</v>
      </c>
      <c r="B24" s="175" t="s">
        <v>68</v>
      </c>
      <c r="C24" s="170" t="s">
        <v>30</v>
      </c>
      <c r="E24">
        <v>103.3</v>
      </c>
      <c r="F24">
        <v>103.9</v>
      </c>
      <c r="G24">
        <v>104.6</v>
      </c>
      <c r="H24">
        <v>104.4</v>
      </c>
      <c r="I24">
        <v>104.1</v>
      </c>
      <c r="J24">
        <v>105</v>
      </c>
      <c r="K24">
        <v>106.8</v>
      </c>
      <c r="L24">
        <v>107.8</v>
      </c>
      <c r="M24">
        <v>109.3</v>
      </c>
      <c r="N24">
        <v>109.3</v>
      </c>
      <c r="O24">
        <v>109.6</v>
      </c>
      <c r="P24">
        <v>109.9</v>
      </c>
      <c r="Q24">
        <v>110.5</v>
      </c>
      <c r="R24">
        <v>110.8</v>
      </c>
      <c r="S24">
        <v>111.2</v>
      </c>
      <c r="T24">
        <v>111.2</v>
      </c>
      <c r="U24">
        <v>111.4</v>
      </c>
      <c r="V24">
        <v>112.2</v>
      </c>
      <c r="W24">
        <v>113.2</v>
      </c>
      <c r="X24">
        <v>113.2</v>
      </c>
      <c r="Y24">
        <v>112.8</v>
      </c>
      <c r="Z24">
        <v>112.6</v>
      </c>
      <c r="AA24">
        <v>112</v>
      </c>
      <c r="AB24">
        <v>111.5</v>
      </c>
      <c r="AC24">
        <v>111</v>
      </c>
      <c r="AD24">
        <v>110.9</v>
      </c>
      <c r="AE24">
        <v>111.6</v>
      </c>
      <c r="AF24">
        <v>111.9</v>
      </c>
      <c r="AG24">
        <v>113.3</v>
      </c>
      <c r="AH24">
        <v>114.2</v>
      </c>
      <c r="AI24">
        <v>114.1</v>
      </c>
      <c r="AJ24">
        <v>113.6</v>
      </c>
      <c r="AK24">
        <v>113.8</v>
      </c>
      <c r="AL24">
        <v>113.8</v>
      </c>
      <c r="AM24">
        <v>114</v>
      </c>
      <c r="AN24">
        <v>114</v>
      </c>
      <c r="AO24">
        <v>113.6</v>
      </c>
      <c r="AP24">
        <v>113.9</v>
      </c>
      <c r="AQ24">
        <v>113.6</v>
      </c>
      <c r="AR24">
        <v>114.4</v>
      </c>
      <c r="AS24">
        <v>115.1</v>
      </c>
      <c r="AT24">
        <v>116.3</v>
      </c>
      <c r="AU24">
        <v>116.4</v>
      </c>
      <c r="AV24">
        <v>116</v>
      </c>
      <c r="AW24">
        <v>117</v>
      </c>
      <c r="AX24">
        <v>117.8</v>
      </c>
      <c r="AY24">
        <v>118.2</v>
      </c>
      <c r="AZ24">
        <v>118.6</v>
      </c>
      <c r="BA24">
        <v>119.1</v>
      </c>
      <c r="BB24">
        <v>119.5</v>
      </c>
      <c r="BC24">
        <v>119.8</v>
      </c>
      <c r="BD24">
        <v>119.2</v>
      </c>
      <c r="BE24">
        <v>119.4</v>
      </c>
      <c r="BF24">
        <v>119.4</v>
      </c>
      <c r="BG24">
        <v>119.1</v>
      </c>
      <c r="BH24">
        <v>120.3</v>
      </c>
      <c r="BI24">
        <v>121.2</v>
      </c>
      <c r="BJ24">
        <v>121</v>
      </c>
      <c r="BK24">
        <v>121.6</v>
      </c>
      <c r="BL24">
        <v>122</v>
      </c>
      <c r="BM24">
        <v>122.7</v>
      </c>
      <c r="BN24">
        <v>123.3</v>
      </c>
      <c r="BO24">
        <v>124.6</v>
      </c>
      <c r="BP24">
        <v>125.3</v>
      </c>
      <c r="BQ24">
        <v>126.4</v>
      </c>
      <c r="BR24">
        <v>127.4</v>
      </c>
      <c r="BS24">
        <v>127.5</v>
      </c>
      <c r="BT24">
        <v>128.30000000000001</v>
      </c>
      <c r="BU24">
        <v>129.9</v>
      </c>
      <c r="BV24">
        <v>130.80000000000001</v>
      </c>
      <c r="BW24">
        <v>130.30000000000001</v>
      </c>
      <c r="BX24">
        <v>128.9</v>
      </c>
      <c r="BY24">
        <v>128.6</v>
      </c>
      <c r="BZ24">
        <v>129.19999999999999</v>
      </c>
      <c r="CA24">
        <v>129.9</v>
      </c>
      <c r="CB24">
        <v>130.19999999999999</v>
      </c>
      <c r="CC24">
        <v>130.19999999999999</v>
      </c>
      <c r="CD24">
        <v>131.19999999999999</v>
      </c>
      <c r="CE24">
        <v>131.4</v>
      </c>
      <c r="CF24">
        <v>131.6</v>
      </c>
      <c r="CG24">
        <v>131.69999999999999</v>
      </c>
      <c r="CH24">
        <v>132.1</v>
      </c>
      <c r="CI24">
        <v>135</v>
      </c>
      <c r="CJ24">
        <v>136.30000000000001</v>
      </c>
      <c r="CK24">
        <v>136</v>
      </c>
      <c r="CL24">
        <v>135.80000000000001</v>
      </c>
      <c r="CM24" t="s">
        <v>32</v>
      </c>
      <c r="CN24" t="s">
        <v>32</v>
      </c>
      <c r="CO24">
        <v>141.4</v>
      </c>
      <c r="CP24">
        <v>141.4</v>
      </c>
      <c r="CQ24">
        <v>143.6</v>
      </c>
      <c r="CR24">
        <v>144.6</v>
      </c>
      <c r="CS24">
        <v>146.4</v>
      </c>
      <c r="CT24">
        <v>146.1</v>
      </c>
      <c r="CU24">
        <v>146.4</v>
      </c>
      <c r="CV24">
        <v>147.5</v>
      </c>
      <c r="CW24">
        <v>150.19999999999999</v>
      </c>
      <c r="CX24">
        <v>151.30000000000001</v>
      </c>
      <c r="CY24">
        <v>151.69999999999999</v>
      </c>
      <c r="CZ24">
        <v>153.19999999999999</v>
      </c>
      <c r="DA24">
        <v>154.19999999999999</v>
      </c>
      <c r="DB24">
        <v>157.1</v>
      </c>
      <c r="DC24">
        <v>157.69999999999999</v>
      </c>
      <c r="DD24">
        <v>157.80000000000001</v>
      </c>
      <c r="DE24">
        <v>159.5</v>
      </c>
      <c r="DF24">
        <v>158.9</v>
      </c>
      <c r="DG24">
        <v>160.1</v>
      </c>
      <c r="DH24">
        <v>160.80000000000001</v>
      </c>
      <c r="DI24">
        <v>161.19999999999999</v>
      </c>
      <c r="DJ24">
        <v>162</v>
      </c>
      <c r="DK24">
        <v>166.2</v>
      </c>
      <c r="DL24">
        <v>167.1</v>
      </c>
      <c r="DM24">
        <v>165.5</v>
      </c>
      <c r="DN24">
        <v>166.3</v>
      </c>
      <c r="DO24">
        <v>166.6</v>
      </c>
      <c r="DP24">
        <v>166.9</v>
      </c>
      <c r="DQ24">
        <v>167.4</v>
      </c>
      <c r="DR24">
        <v>167.5</v>
      </c>
      <c r="DS24">
        <v>167.8</v>
      </c>
      <c r="DT24">
        <v>168.2</v>
      </c>
      <c r="DU24">
        <v>169</v>
      </c>
      <c r="DV24">
        <v>169</v>
      </c>
      <c r="DW24">
        <v>169.4</v>
      </c>
      <c r="DX24">
        <v>169.7</v>
      </c>
    </row>
    <row r="25" spans="1:128" x14ac:dyDescent="0.3">
      <c r="A25" s="172" t="s">
        <v>25</v>
      </c>
      <c r="B25" s="172" t="s">
        <v>67</v>
      </c>
      <c r="C25" s="170" t="s">
        <v>30</v>
      </c>
      <c r="E25">
        <v>103.4</v>
      </c>
      <c r="F25">
        <v>104</v>
      </c>
      <c r="G25">
        <v>104</v>
      </c>
      <c r="H25">
        <v>104.5</v>
      </c>
      <c r="I25">
        <v>105</v>
      </c>
      <c r="J25">
        <v>105.6</v>
      </c>
      <c r="K25">
        <v>106.4</v>
      </c>
      <c r="L25">
        <v>106.8</v>
      </c>
      <c r="M25">
        <v>107.7</v>
      </c>
      <c r="N25">
        <v>108.3</v>
      </c>
      <c r="O25">
        <v>108.7</v>
      </c>
      <c r="P25">
        <v>109.2</v>
      </c>
      <c r="Q25">
        <v>109.6</v>
      </c>
      <c r="R25">
        <v>109.9</v>
      </c>
      <c r="S25">
        <v>110.2</v>
      </c>
      <c r="T25">
        <v>110.5</v>
      </c>
      <c r="U25">
        <v>110.9</v>
      </c>
      <c r="V25">
        <v>111.4</v>
      </c>
      <c r="W25">
        <v>111.8</v>
      </c>
      <c r="X25">
        <v>112.2</v>
      </c>
      <c r="Y25">
        <v>112.6</v>
      </c>
      <c r="Z25">
        <v>113</v>
      </c>
      <c r="AA25">
        <v>113.3</v>
      </c>
      <c r="AB25">
        <v>113.3</v>
      </c>
      <c r="AC25">
        <v>114</v>
      </c>
      <c r="AD25">
        <v>114.8</v>
      </c>
      <c r="AE25">
        <v>115.5</v>
      </c>
      <c r="AF25">
        <v>116.2</v>
      </c>
      <c r="AG25">
        <v>116.7</v>
      </c>
      <c r="AH25">
        <v>117.9</v>
      </c>
      <c r="AI25">
        <v>118</v>
      </c>
      <c r="AJ25">
        <v>118.5</v>
      </c>
      <c r="AK25">
        <v>119.6</v>
      </c>
      <c r="AL25">
        <v>120.1</v>
      </c>
      <c r="AM25">
        <v>120.9</v>
      </c>
      <c r="AN25">
        <v>121.6</v>
      </c>
      <c r="AO25">
        <v>121.4</v>
      </c>
      <c r="AP25">
        <v>122.3</v>
      </c>
      <c r="AQ25">
        <v>122.5</v>
      </c>
      <c r="AR25">
        <v>123.2</v>
      </c>
      <c r="AS25">
        <v>123.6</v>
      </c>
      <c r="AT25">
        <v>124.1</v>
      </c>
      <c r="AU25">
        <v>125.2</v>
      </c>
      <c r="AV25">
        <v>125.5</v>
      </c>
      <c r="AW25">
        <v>125.7</v>
      </c>
      <c r="AX25">
        <v>126.5</v>
      </c>
      <c r="AY25">
        <v>126.9</v>
      </c>
      <c r="AZ25">
        <v>127.3</v>
      </c>
      <c r="BA25">
        <v>127</v>
      </c>
      <c r="BB25">
        <v>127.7</v>
      </c>
      <c r="BC25">
        <v>128.30000000000001</v>
      </c>
      <c r="BD25">
        <v>128.30000000000001</v>
      </c>
      <c r="BE25">
        <v>129.4</v>
      </c>
      <c r="BF25">
        <v>129.80000000000001</v>
      </c>
      <c r="BG25">
        <v>130.6</v>
      </c>
      <c r="BH25">
        <v>131.5</v>
      </c>
      <c r="BI25">
        <v>132.30000000000001</v>
      </c>
      <c r="BJ25">
        <v>133</v>
      </c>
      <c r="BK25">
        <v>133.69999999999999</v>
      </c>
      <c r="BL25">
        <v>133.4</v>
      </c>
      <c r="BM25">
        <v>134.30000000000001</v>
      </c>
      <c r="BN25">
        <v>134.30000000000001</v>
      </c>
      <c r="BO25">
        <v>135.1</v>
      </c>
      <c r="BP25">
        <v>136</v>
      </c>
      <c r="BQ25">
        <v>136.80000000000001</v>
      </c>
      <c r="BR25">
        <v>137.80000000000001</v>
      </c>
      <c r="BS25">
        <v>138.4</v>
      </c>
      <c r="BT25">
        <v>138.6</v>
      </c>
      <c r="BU25">
        <v>140</v>
      </c>
      <c r="BV25">
        <v>140.1</v>
      </c>
      <c r="BW25">
        <v>143.1</v>
      </c>
      <c r="BX25">
        <v>143.30000000000001</v>
      </c>
      <c r="BY25">
        <v>142.9</v>
      </c>
      <c r="BZ25">
        <v>143.4</v>
      </c>
      <c r="CA25">
        <v>143.80000000000001</v>
      </c>
      <c r="CB25">
        <v>145.9</v>
      </c>
      <c r="CC25">
        <v>146.4</v>
      </c>
      <c r="CD25">
        <v>147.5</v>
      </c>
      <c r="CE25">
        <v>148</v>
      </c>
      <c r="CF25">
        <v>148.30000000000001</v>
      </c>
      <c r="CG25">
        <v>148.69999999999999</v>
      </c>
      <c r="CH25">
        <v>149.1</v>
      </c>
      <c r="CI25">
        <v>149.5</v>
      </c>
      <c r="CJ25">
        <v>150.1</v>
      </c>
      <c r="CK25">
        <v>150.4</v>
      </c>
      <c r="CL25">
        <v>151.19999999999999</v>
      </c>
      <c r="CM25" t="s">
        <v>32</v>
      </c>
      <c r="CN25" t="s">
        <v>32</v>
      </c>
      <c r="CO25">
        <v>153.19999999999999</v>
      </c>
      <c r="CP25">
        <v>153.19999999999999</v>
      </c>
      <c r="CQ25">
        <v>152.19999999999999</v>
      </c>
      <c r="CR25">
        <v>152.80000000000001</v>
      </c>
      <c r="CS25">
        <v>152.4</v>
      </c>
      <c r="CT25">
        <v>153.6</v>
      </c>
      <c r="CU25">
        <v>153.9</v>
      </c>
      <c r="CV25">
        <v>155.1</v>
      </c>
      <c r="CW25">
        <v>157</v>
      </c>
      <c r="CX25">
        <v>157.80000000000001</v>
      </c>
      <c r="CY25">
        <v>158.6</v>
      </c>
      <c r="CZ25">
        <v>160</v>
      </c>
      <c r="DA25">
        <v>160.4</v>
      </c>
      <c r="DB25">
        <v>160.69999999999999</v>
      </c>
      <c r="DC25">
        <v>161.1</v>
      </c>
      <c r="DD25">
        <v>162.69999999999999</v>
      </c>
      <c r="DE25">
        <v>163.19999999999999</v>
      </c>
      <c r="DF25">
        <v>163.80000000000001</v>
      </c>
      <c r="DG25">
        <v>164.5</v>
      </c>
      <c r="DH25">
        <v>164.9</v>
      </c>
      <c r="DI25">
        <v>165.5</v>
      </c>
      <c r="DJ25">
        <v>166.6</v>
      </c>
      <c r="DK25">
        <v>167.2</v>
      </c>
      <c r="DL25">
        <v>167.6</v>
      </c>
      <c r="DM25">
        <v>168</v>
      </c>
      <c r="DN25">
        <v>168.6</v>
      </c>
      <c r="DO25">
        <v>169.3</v>
      </c>
      <c r="DP25">
        <v>170</v>
      </c>
      <c r="DQ25">
        <v>170.6</v>
      </c>
      <c r="DR25">
        <v>170.8</v>
      </c>
      <c r="DS25">
        <v>171.2</v>
      </c>
      <c r="DT25">
        <v>171.8</v>
      </c>
      <c r="DU25">
        <v>172.8</v>
      </c>
      <c r="DV25">
        <v>172.8</v>
      </c>
      <c r="DW25">
        <v>173.2</v>
      </c>
      <c r="DX25">
        <v>173.8</v>
      </c>
    </row>
    <row r="26" spans="1:128" x14ac:dyDescent="0.3">
      <c r="A26" s="177" t="s">
        <v>26</v>
      </c>
      <c r="B26" s="177" t="s">
        <v>26</v>
      </c>
      <c r="C26" s="170" t="s">
        <v>30</v>
      </c>
      <c r="E26">
        <v>103.8</v>
      </c>
      <c r="F26">
        <v>104.1</v>
      </c>
      <c r="G26">
        <v>104.3</v>
      </c>
      <c r="H26">
        <v>104.8</v>
      </c>
      <c r="I26">
        <v>105.5</v>
      </c>
      <c r="J26">
        <v>106.5</v>
      </c>
      <c r="K26">
        <v>107.8</v>
      </c>
      <c r="L26">
        <v>108.7</v>
      </c>
      <c r="M26">
        <v>109.8</v>
      </c>
      <c r="N26">
        <v>110.2</v>
      </c>
      <c r="O26">
        <v>111</v>
      </c>
      <c r="P26">
        <v>111.6</v>
      </c>
      <c r="Q26">
        <v>111.8</v>
      </c>
      <c r="R26">
        <v>112</v>
      </c>
      <c r="S26">
        <v>112.4</v>
      </c>
      <c r="T26">
        <v>113</v>
      </c>
      <c r="U26">
        <v>113.1</v>
      </c>
      <c r="V26">
        <v>114.3</v>
      </c>
      <c r="W26">
        <v>115.5</v>
      </c>
      <c r="X26">
        <v>116.2</v>
      </c>
      <c r="Y26">
        <v>116.6</v>
      </c>
      <c r="Z26">
        <v>116.9</v>
      </c>
      <c r="AA26">
        <v>117.2</v>
      </c>
      <c r="AB26">
        <v>117.7</v>
      </c>
      <c r="AC26">
        <v>118.2</v>
      </c>
      <c r="AD26">
        <v>118.7</v>
      </c>
      <c r="AE26">
        <v>119.4</v>
      </c>
      <c r="AF26">
        <v>119.9</v>
      </c>
      <c r="AG26">
        <v>120.5</v>
      </c>
      <c r="AH26">
        <v>122</v>
      </c>
      <c r="AI26">
        <v>122.9</v>
      </c>
      <c r="AJ26">
        <v>123.6</v>
      </c>
      <c r="AK26">
        <v>124.5</v>
      </c>
      <c r="AL26">
        <v>125.1</v>
      </c>
      <c r="AM26">
        <v>125.8</v>
      </c>
      <c r="AN26">
        <v>125.6</v>
      </c>
      <c r="AO26">
        <v>126.2</v>
      </c>
      <c r="AP26">
        <v>127.1</v>
      </c>
      <c r="AQ26">
        <v>127.5</v>
      </c>
      <c r="AR26">
        <v>127.9</v>
      </c>
      <c r="AS26">
        <v>129.1</v>
      </c>
      <c r="AT26">
        <v>130.19999999999999</v>
      </c>
      <c r="AU26">
        <v>130.80000000000001</v>
      </c>
      <c r="AV26">
        <v>131.9</v>
      </c>
      <c r="AW26">
        <v>132.19999999999999</v>
      </c>
      <c r="AX26">
        <v>133</v>
      </c>
      <c r="AY26">
        <v>133.69999999999999</v>
      </c>
      <c r="AZ26">
        <v>134.19999999999999</v>
      </c>
      <c r="BA26">
        <v>134.6</v>
      </c>
      <c r="BB26">
        <v>134.9</v>
      </c>
      <c r="BC26">
        <v>135.19999999999999</v>
      </c>
      <c r="BD26">
        <v>135.69999999999999</v>
      </c>
      <c r="BE26">
        <v>136.30000000000001</v>
      </c>
      <c r="BF26">
        <v>136.9</v>
      </c>
      <c r="BG26">
        <v>138.6</v>
      </c>
      <c r="BH26">
        <v>140.19999999999999</v>
      </c>
      <c r="BI26">
        <v>139.6</v>
      </c>
      <c r="BJ26">
        <v>140.1</v>
      </c>
      <c r="BK26">
        <v>141.5</v>
      </c>
      <c r="BL26">
        <v>141.1</v>
      </c>
      <c r="BM26">
        <v>141.6</v>
      </c>
      <c r="BN26">
        <v>141.5</v>
      </c>
      <c r="BO26">
        <v>142.69999999999999</v>
      </c>
      <c r="BP26">
        <v>143.69999999999999</v>
      </c>
      <c r="BQ26">
        <v>144.4</v>
      </c>
      <c r="BR26">
        <v>145.1</v>
      </c>
      <c r="BS26">
        <v>145.80000000000001</v>
      </c>
      <c r="BT26">
        <v>146.9</v>
      </c>
      <c r="BU26">
        <v>147.6</v>
      </c>
      <c r="BV26">
        <v>148</v>
      </c>
      <c r="BW26">
        <v>150.19999999999999</v>
      </c>
      <c r="BX26">
        <v>155.1</v>
      </c>
      <c r="BY26">
        <v>155.19999999999999</v>
      </c>
      <c r="BZ26">
        <v>155.5</v>
      </c>
      <c r="CA26">
        <v>155.5</v>
      </c>
      <c r="CB26">
        <v>156.69999999999999</v>
      </c>
      <c r="CC26">
        <v>157.69999999999999</v>
      </c>
      <c r="CD26">
        <v>159.1</v>
      </c>
      <c r="CE26">
        <v>159.69999999999999</v>
      </c>
      <c r="CF26">
        <v>160.19999999999999</v>
      </c>
      <c r="CG26">
        <v>160.69999999999999</v>
      </c>
      <c r="CH26">
        <v>160.80000000000001</v>
      </c>
      <c r="CI26">
        <v>161.1</v>
      </c>
      <c r="CJ26">
        <v>161.69999999999999</v>
      </c>
      <c r="CK26">
        <v>161.9</v>
      </c>
      <c r="CL26">
        <v>161.19999999999999</v>
      </c>
      <c r="CM26" t="s">
        <v>32</v>
      </c>
      <c r="CN26" t="s">
        <v>32</v>
      </c>
      <c r="CO26">
        <v>161.80000000000001</v>
      </c>
      <c r="CP26">
        <v>161.80000000000001</v>
      </c>
      <c r="CQ26">
        <v>162.69999999999999</v>
      </c>
      <c r="CR26">
        <v>161.1</v>
      </c>
      <c r="CS26">
        <v>162.5</v>
      </c>
      <c r="CT26">
        <v>161.6</v>
      </c>
      <c r="CU26">
        <v>162.9</v>
      </c>
      <c r="CV26">
        <v>163.5</v>
      </c>
      <c r="CW26">
        <v>163.6</v>
      </c>
      <c r="CX26">
        <v>163.80000000000001</v>
      </c>
      <c r="CY26">
        <v>164.1</v>
      </c>
      <c r="CZ26">
        <v>167.6</v>
      </c>
      <c r="DA26">
        <v>166.8</v>
      </c>
      <c r="DB26">
        <v>167.2</v>
      </c>
      <c r="DC26">
        <v>167.5</v>
      </c>
      <c r="DD26">
        <v>168.5</v>
      </c>
      <c r="DE26">
        <v>169</v>
      </c>
      <c r="DF26">
        <v>169.3</v>
      </c>
      <c r="DG26">
        <v>169.7</v>
      </c>
      <c r="DH26">
        <v>169.9</v>
      </c>
      <c r="DI26">
        <v>170.3</v>
      </c>
      <c r="DJ26">
        <v>170.6</v>
      </c>
      <c r="DK26">
        <v>170.9</v>
      </c>
      <c r="DL26">
        <v>171.8</v>
      </c>
      <c r="DM26">
        <v>172.6</v>
      </c>
      <c r="DN26">
        <v>174.7</v>
      </c>
      <c r="DO26">
        <v>175.7</v>
      </c>
      <c r="DP26">
        <v>176.2</v>
      </c>
      <c r="DQ26">
        <v>176.5</v>
      </c>
      <c r="DR26">
        <v>176.9</v>
      </c>
      <c r="DS26">
        <v>177.3</v>
      </c>
      <c r="DT26">
        <v>177.8</v>
      </c>
      <c r="DU26">
        <v>178.5</v>
      </c>
      <c r="DV26">
        <v>178.5</v>
      </c>
      <c r="DW26">
        <v>179.4</v>
      </c>
      <c r="DX26">
        <v>180.3</v>
      </c>
    </row>
    <row r="27" spans="1:128" x14ac:dyDescent="0.3">
      <c r="A27" s="175" t="s">
        <v>27</v>
      </c>
      <c r="B27" s="175" t="s">
        <v>68</v>
      </c>
      <c r="C27" s="170" t="s">
        <v>30</v>
      </c>
      <c r="E27">
        <v>104.7</v>
      </c>
      <c r="F27">
        <v>104.6</v>
      </c>
      <c r="G27">
        <v>104.3</v>
      </c>
      <c r="H27">
        <v>102.7</v>
      </c>
      <c r="I27">
        <v>102.1</v>
      </c>
      <c r="J27">
        <v>102.5</v>
      </c>
      <c r="K27">
        <v>102.5</v>
      </c>
      <c r="L27">
        <v>105</v>
      </c>
      <c r="M27">
        <v>106.7</v>
      </c>
      <c r="N27">
        <v>107.5</v>
      </c>
      <c r="O27">
        <v>108.2</v>
      </c>
      <c r="P27">
        <v>108.1</v>
      </c>
      <c r="Q27">
        <v>108.3</v>
      </c>
      <c r="R27">
        <v>108.7</v>
      </c>
      <c r="S27">
        <v>108.9</v>
      </c>
      <c r="T27">
        <v>108.9</v>
      </c>
      <c r="U27">
        <v>108.9</v>
      </c>
      <c r="V27">
        <v>108</v>
      </c>
      <c r="W27">
        <v>108.8</v>
      </c>
      <c r="X27">
        <v>109.4</v>
      </c>
      <c r="Y27">
        <v>109.1</v>
      </c>
      <c r="Z27">
        <v>109.3</v>
      </c>
      <c r="AA27">
        <v>108.8</v>
      </c>
      <c r="AB27">
        <v>109.4</v>
      </c>
      <c r="AC27">
        <v>110.2</v>
      </c>
      <c r="AD27">
        <v>110.8</v>
      </c>
      <c r="AE27">
        <v>110.8</v>
      </c>
      <c r="AF27">
        <v>111.6</v>
      </c>
      <c r="AG27">
        <v>112.3</v>
      </c>
      <c r="AH27">
        <v>113</v>
      </c>
      <c r="AI27">
        <v>112.7</v>
      </c>
      <c r="AJ27">
        <v>112.5</v>
      </c>
      <c r="AK27">
        <v>113.7</v>
      </c>
      <c r="AL27">
        <v>114.2</v>
      </c>
      <c r="AM27">
        <v>114.2</v>
      </c>
      <c r="AN27">
        <v>114.1</v>
      </c>
      <c r="AO27">
        <v>114.9</v>
      </c>
      <c r="AP27">
        <v>116.8</v>
      </c>
      <c r="AQ27">
        <v>117.4</v>
      </c>
      <c r="AR27">
        <v>118.4</v>
      </c>
      <c r="AS27">
        <v>119.7</v>
      </c>
      <c r="AT27">
        <v>119.9</v>
      </c>
      <c r="AU27">
        <v>120.9</v>
      </c>
      <c r="AV27">
        <v>122</v>
      </c>
      <c r="AW27">
        <v>122.8</v>
      </c>
      <c r="AX27">
        <v>123</v>
      </c>
      <c r="AY27">
        <v>123.5</v>
      </c>
      <c r="AZ27">
        <v>121.9</v>
      </c>
      <c r="BA27">
        <v>122.3</v>
      </c>
      <c r="BB27">
        <v>123.2</v>
      </c>
      <c r="BC27">
        <v>123.3</v>
      </c>
      <c r="BD27">
        <v>123.7</v>
      </c>
      <c r="BE27">
        <v>123.7</v>
      </c>
      <c r="BF27">
        <v>124.1</v>
      </c>
      <c r="BG27">
        <v>124.4</v>
      </c>
      <c r="BH27">
        <v>125.4</v>
      </c>
      <c r="BI27">
        <v>126.7</v>
      </c>
      <c r="BJ27">
        <v>127.4</v>
      </c>
      <c r="BK27">
        <v>128.1</v>
      </c>
      <c r="BL27">
        <v>127.8</v>
      </c>
      <c r="BM27">
        <v>128.6</v>
      </c>
      <c r="BN27">
        <v>128.80000000000001</v>
      </c>
      <c r="BO27">
        <v>129.30000000000001</v>
      </c>
      <c r="BP27">
        <v>130.4</v>
      </c>
      <c r="BQ27">
        <v>131.19999999999999</v>
      </c>
      <c r="BR27">
        <v>131.4</v>
      </c>
      <c r="BS27">
        <v>131.4</v>
      </c>
      <c r="BT27">
        <v>131.30000000000001</v>
      </c>
      <c r="BU27">
        <v>132</v>
      </c>
      <c r="BV27">
        <v>134.4</v>
      </c>
      <c r="BW27">
        <v>133.1</v>
      </c>
      <c r="BX27">
        <v>133.19999999999999</v>
      </c>
      <c r="BY27">
        <v>133.5</v>
      </c>
      <c r="BZ27">
        <v>134.9</v>
      </c>
      <c r="CA27">
        <v>134</v>
      </c>
      <c r="CB27">
        <v>133.9</v>
      </c>
      <c r="CC27">
        <v>134.80000000000001</v>
      </c>
      <c r="CD27">
        <v>136.1</v>
      </c>
      <c r="CE27">
        <v>138.80000000000001</v>
      </c>
      <c r="CF27">
        <v>140.19999999999999</v>
      </c>
      <c r="CG27">
        <v>140.30000000000001</v>
      </c>
      <c r="CH27">
        <v>140.6</v>
      </c>
      <c r="CI27">
        <v>140.6</v>
      </c>
      <c r="CJ27">
        <v>142.5</v>
      </c>
      <c r="CK27">
        <v>143.4</v>
      </c>
      <c r="CL27">
        <v>145.1</v>
      </c>
      <c r="CM27" t="s">
        <v>32</v>
      </c>
      <c r="CN27" t="s">
        <v>32</v>
      </c>
      <c r="CO27">
        <v>151.19999999999999</v>
      </c>
      <c r="CP27">
        <v>151.19999999999999</v>
      </c>
      <c r="CQ27">
        <v>153.6</v>
      </c>
      <c r="CR27">
        <v>157.4</v>
      </c>
      <c r="CS27">
        <v>156.19999999999999</v>
      </c>
      <c r="CT27">
        <v>156.19999999999999</v>
      </c>
      <c r="CU27">
        <v>156.6</v>
      </c>
      <c r="CV27">
        <v>156.19999999999999</v>
      </c>
      <c r="CW27">
        <v>155.19999999999999</v>
      </c>
      <c r="CX27">
        <v>153.1</v>
      </c>
      <c r="CY27">
        <v>154.6</v>
      </c>
      <c r="CZ27">
        <v>159.30000000000001</v>
      </c>
      <c r="DA27">
        <v>159.4</v>
      </c>
      <c r="DB27">
        <v>160.4</v>
      </c>
      <c r="DC27">
        <v>160.30000000000001</v>
      </c>
      <c r="DD27">
        <v>160.19999999999999</v>
      </c>
      <c r="DE27">
        <v>161.1</v>
      </c>
      <c r="DF27">
        <v>162.4</v>
      </c>
      <c r="DG27">
        <v>162.80000000000001</v>
      </c>
      <c r="DH27">
        <v>163.19999999999999</v>
      </c>
      <c r="DI27">
        <v>164.5</v>
      </c>
      <c r="DJ27">
        <v>167.4</v>
      </c>
      <c r="DK27">
        <v>169</v>
      </c>
      <c r="DL27">
        <v>168.5</v>
      </c>
      <c r="DM27">
        <v>169.5</v>
      </c>
      <c r="DN27">
        <v>169.7</v>
      </c>
      <c r="DO27">
        <v>171.1</v>
      </c>
      <c r="DP27">
        <v>170.8</v>
      </c>
      <c r="DQ27">
        <v>172</v>
      </c>
      <c r="DR27">
        <v>173.4</v>
      </c>
      <c r="DS27">
        <v>175.7</v>
      </c>
      <c r="DT27">
        <v>178.4</v>
      </c>
      <c r="DU27">
        <v>180.7</v>
      </c>
      <c r="DV27">
        <v>180.7</v>
      </c>
      <c r="DW27">
        <v>183.8</v>
      </c>
      <c r="DX27">
        <v>184.9</v>
      </c>
    </row>
    <row r="28" spans="1:128" x14ac:dyDescent="0.3">
      <c r="A28" s="178" t="s">
        <v>28</v>
      </c>
      <c r="B28" s="178" t="s">
        <v>69</v>
      </c>
      <c r="C28" s="170" t="s">
        <v>30</v>
      </c>
      <c r="E28">
        <v>104</v>
      </c>
      <c r="F28">
        <v>104.4</v>
      </c>
      <c r="G28">
        <v>104.6</v>
      </c>
      <c r="H28">
        <v>104.6</v>
      </c>
      <c r="I28">
        <v>104.8</v>
      </c>
      <c r="J28">
        <v>105.5</v>
      </c>
      <c r="K28">
        <v>106.5</v>
      </c>
      <c r="L28">
        <v>107.5</v>
      </c>
      <c r="M28">
        <v>108.7</v>
      </c>
      <c r="N28">
        <v>109.1</v>
      </c>
      <c r="O28">
        <v>109.8</v>
      </c>
      <c r="P28">
        <v>110.1</v>
      </c>
      <c r="Q28">
        <v>110.6</v>
      </c>
      <c r="R28">
        <v>110.9</v>
      </c>
      <c r="S28">
        <v>111.3</v>
      </c>
      <c r="T28">
        <v>111.5</v>
      </c>
      <c r="U28">
        <v>111.8</v>
      </c>
      <c r="V28">
        <v>112.3</v>
      </c>
      <c r="W28">
        <v>113.1</v>
      </c>
      <c r="X28">
        <v>113.5</v>
      </c>
      <c r="Y28">
        <v>113.7</v>
      </c>
      <c r="Z28">
        <v>114</v>
      </c>
      <c r="AA28">
        <v>114.1</v>
      </c>
      <c r="AB28">
        <v>114.2</v>
      </c>
      <c r="AC28">
        <v>114.5</v>
      </c>
      <c r="AD28">
        <v>115</v>
      </c>
      <c r="AE28">
        <v>115.5</v>
      </c>
      <c r="AF28">
        <v>116</v>
      </c>
      <c r="AG28">
        <v>116.9</v>
      </c>
      <c r="AH28">
        <v>117.9</v>
      </c>
      <c r="AI28">
        <v>118.1</v>
      </c>
      <c r="AJ28">
        <v>118.2</v>
      </c>
      <c r="AK28">
        <v>118.8</v>
      </c>
      <c r="AL28">
        <v>119.2</v>
      </c>
      <c r="AM28">
        <v>119.6</v>
      </c>
      <c r="AN28">
        <v>119.8</v>
      </c>
      <c r="AO28">
        <v>120.1</v>
      </c>
      <c r="AP28">
        <v>120.9</v>
      </c>
      <c r="AQ28">
        <v>121.1</v>
      </c>
      <c r="AR28">
        <v>121.7</v>
      </c>
      <c r="AS28">
        <v>122.5</v>
      </c>
      <c r="AT28">
        <v>123.3</v>
      </c>
      <c r="AU28">
        <v>123.8</v>
      </c>
      <c r="AV28">
        <v>124.2</v>
      </c>
      <c r="AW28">
        <v>124.9</v>
      </c>
      <c r="AX28">
        <v>125.7</v>
      </c>
      <c r="AY28">
        <v>126.1</v>
      </c>
      <c r="AZ28">
        <v>126.3</v>
      </c>
      <c r="BA28">
        <v>126.6</v>
      </c>
      <c r="BB28">
        <v>127</v>
      </c>
      <c r="BC28">
        <v>127.4</v>
      </c>
      <c r="BD28">
        <v>127.5</v>
      </c>
      <c r="BE28">
        <v>127.9</v>
      </c>
      <c r="BF28">
        <v>128.1</v>
      </c>
      <c r="BG28">
        <v>128.6</v>
      </c>
      <c r="BH28">
        <v>129.69999999999999</v>
      </c>
      <c r="BI28">
        <v>130.30000000000001</v>
      </c>
      <c r="BJ28">
        <v>130.69999999999999</v>
      </c>
      <c r="BK28">
        <v>131.69999999999999</v>
      </c>
      <c r="BL28">
        <v>131.9</v>
      </c>
      <c r="BM28">
        <v>132.30000000000001</v>
      </c>
      <c r="BN28">
        <v>132.5</v>
      </c>
      <c r="BO28">
        <v>133.30000000000001</v>
      </c>
      <c r="BP28">
        <v>134.19999999999999</v>
      </c>
      <c r="BQ28">
        <v>135.1</v>
      </c>
      <c r="BR28">
        <v>135.6</v>
      </c>
      <c r="BS28">
        <v>136</v>
      </c>
      <c r="BT28">
        <v>136.6</v>
      </c>
      <c r="BU28">
        <v>137.4</v>
      </c>
      <c r="BV28">
        <v>139.80000000000001</v>
      </c>
      <c r="BW28">
        <v>140.1</v>
      </c>
      <c r="BX28">
        <v>141.6</v>
      </c>
      <c r="BY28">
        <v>141.69999999999999</v>
      </c>
      <c r="BZ28">
        <v>142.19999999999999</v>
      </c>
      <c r="CA28">
        <v>142.4</v>
      </c>
      <c r="CB28">
        <v>142.9</v>
      </c>
      <c r="CC28">
        <v>143.30000000000001</v>
      </c>
      <c r="CD28">
        <v>144.19999999999999</v>
      </c>
      <c r="CE28">
        <v>144.9</v>
      </c>
      <c r="CF28">
        <v>145.4</v>
      </c>
      <c r="CG28">
        <v>145.69999999999999</v>
      </c>
      <c r="CH28">
        <v>146.1</v>
      </c>
      <c r="CI28">
        <v>147.1</v>
      </c>
      <c r="CJ28">
        <v>148.1</v>
      </c>
      <c r="CK28">
        <v>148.4</v>
      </c>
      <c r="CL28">
        <v>148.6</v>
      </c>
      <c r="CM28" t="s">
        <v>32</v>
      </c>
      <c r="CN28" t="s">
        <v>32</v>
      </c>
      <c r="CO28">
        <v>151.69999999999999</v>
      </c>
      <c r="CP28">
        <v>151.69999999999999</v>
      </c>
      <c r="CQ28">
        <v>153</v>
      </c>
      <c r="CR28">
        <v>153.69999999999999</v>
      </c>
      <c r="CS28">
        <v>154.30000000000001</v>
      </c>
      <c r="CT28">
        <v>154.5</v>
      </c>
      <c r="CU28">
        <v>155.19999999999999</v>
      </c>
      <c r="CV28">
        <v>155.9</v>
      </c>
      <c r="CW28">
        <v>157.19999999999999</v>
      </c>
      <c r="CX28">
        <v>157.30000000000001</v>
      </c>
      <c r="CY28">
        <v>158</v>
      </c>
      <c r="CZ28">
        <v>161.1</v>
      </c>
      <c r="DA28">
        <v>161.5</v>
      </c>
      <c r="DB28">
        <v>162.80000000000001</v>
      </c>
      <c r="DC28">
        <v>163.30000000000001</v>
      </c>
      <c r="DD28">
        <v>163.80000000000001</v>
      </c>
      <c r="DE28">
        <v>164.7</v>
      </c>
      <c r="DF28">
        <v>165.2</v>
      </c>
      <c r="DG28">
        <v>166</v>
      </c>
      <c r="DH28">
        <v>166.6</v>
      </c>
      <c r="DI28">
        <v>167.3</v>
      </c>
      <c r="DJ28">
        <v>168.3</v>
      </c>
      <c r="DK28">
        <v>170.2</v>
      </c>
      <c r="DL28">
        <v>170.9</v>
      </c>
      <c r="DM28">
        <v>171</v>
      </c>
      <c r="DN28">
        <v>171.8</v>
      </c>
      <c r="DO28">
        <v>172.6</v>
      </c>
      <c r="DP28">
        <v>173.1</v>
      </c>
      <c r="DQ28">
        <v>173.9</v>
      </c>
      <c r="DR28">
        <v>174.6</v>
      </c>
      <c r="DS28">
        <v>175.5</v>
      </c>
      <c r="DT28">
        <v>176.5</v>
      </c>
      <c r="DU28">
        <v>177.9</v>
      </c>
      <c r="DV28">
        <v>177.9</v>
      </c>
      <c r="DW28">
        <v>178.9</v>
      </c>
      <c r="DX28">
        <v>179.5</v>
      </c>
    </row>
    <row r="29" spans="1:128" x14ac:dyDescent="0.3">
      <c r="A29" s="179" t="s">
        <v>29</v>
      </c>
      <c r="B29" s="179" t="s">
        <v>70</v>
      </c>
      <c r="C29" s="170" t="s">
        <v>30</v>
      </c>
      <c r="E29">
        <v>105.1</v>
      </c>
      <c r="F29">
        <v>105.8</v>
      </c>
      <c r="G29">
        <v>106</v>
      </c>
      <c r="H29">
        <v>106.4</v>
      </c>
      <c r="I29">
        <v>107.2</v>
      </c>
      <c r="J29">
        <v>108.9</v>
      </c>
      <c r="K29">
        <v>110.7</v>
      </c>
      <c r="L29">
        <v>112.1</v>
      </c>
      <c r="M29">
        <v>114.2</v>
      </c>
      <c r="N29">
        <v>115.5</v>
      </c>
      <c r="O29">
        <v>117.4</v>
      </c>
      <c r="P29">
        <v>115.5</v>
      </c>
      <c r="Q29">
        <v>114.2</v>
      </c>
      <c r="R29">
        <v>114</v>
      </c>
      <c r="S29">
        <v>114.6</v>
      </c>
      <c r="T29">
        <v>115.4</v>
      </c>
      <c r="U29">
        <v>116</v>
      </c>
      <c r="V29">
        <v>117</v>
      </c>
      <c r="W29">
        <v>119.5</v>
      </c>
      <c r="X29">
        <v>120.7</v>
      </c>
      <c r="Y29">
        <v>120.9</v>
      </c>
      <c r="Z29">
        <v>121</v>
      </c>
      <c r="AA29">
        <v>121.1</v>
      </c>
      <c r="AB29">
        <v>120.3</v>
      </c>
      <c r="AC29">
        <v>120.3</v>
      </c>
      <c r="AD29">
        <v>120.6</v>
      </c>
      <c r="AE29">
        <v>121.1</v>
      </c>
      <c r="AF29">
        <v>121.5</v>
      </c>
      <c r="AG29">
        <v>122.4</v>
      </c>
      <c r="AH29">
        <v>124.1</v>
      </c>
      <c r="AI29">
        <v>124.7</v>
      </c>
      <c r="AJ29">
        <v>126.1</v>
      </c>
      <c r="AK29">
        <v>127</v>
      </c>
      <c r="AL29">
        <v>127.7</v>
      </c>
      <c r="AM29">
        <v>128.30000000000001</v>
      </c>
      <c r="AN29">
        <v>127.9</v>
      </c>
      <c r="AO29">
        <v>128.1</v>
      </c>
      <c r="AP29">
        <v>127.9</v>
      </c>
      <c r="AQ29">
        <v>128</v>
      </c>
      <c r="AR29">
        <v>129</v>
      </c>
      <c r="AS29">
        <v>130.30000000000001</v>
      </c>
      <c r="AT29">
        <v>131.9</v>
      </c>
      <c r="AU29">
        <v>133</v>
      </c>
      <c r="AV29">
        <v>133.5</v>
      </c>
      <c r="AW29">
        <v>133.4</v>
      </c>
      <c r="AX29">
        <v>133.80000000000001</v>
      </c>
      <c r="AY29">
        <v>133.6</v>
      </c>
      <c r="AZ29">
        <v>132.80000000000001</v>
      </c>
      <c r="BA29">
        <v>132.4</v>
      </c>
      <c r="BB29">
        <v>132.6</v>
      </c>
      <c r="BC29">
        <v>132.80000000000001</v>
      </c>
      <c r="BD29">
        <v>132.9</v>
      </c>
      <c r="BE29">
        <v>133.30000000000001</v>
      </c>
      <c r="BF29">
        <v>133.9</v>
      </c>
      <c r="BG29">
        <v>136.19999999999999</v>
      </c>
      <c r="BH29">
        <v>137.80000000000001</v>
      </c>
      <c r="BI29">
        <v>137.6</v>
      </c>
      <c r="BJ29">
        <v>138.30000000000001</v>
      </c>
      <c r="BK29">
        <v>140</v>
      </c>
      <c r="BL29">
        <v>139.80000000000001</v>
      </c>
      <c r="BM29">
        <v>139.30000000000001</v>
      </c>
      <c r="BN29">
        <v>138.5</v>
      </c>
      <c r="BO29">
        <v>138.69999999999999</v>
      </c>
      <c r="BP29">
        <v>139.1</v>
      </c>
      <c r="BQ29">
        <v>139.80000000000001</v>
      </c>
      <c r="BR29">
        <v>140.5</v>
      </c>
      <c r="BS29">
        <v>141.80000000000001</v>
      </c>
      <c r="BT29">
        <v>142.5</v>
      </c>
      <c r="BU29">
        <v>142.1</v>
      </c>
      <c r="BV29">
        <v>142.19999999999999</v>
      </c>
      <c r="BW29">
        <v>142.4</v>
      </c>
      <c r="BX29">
        <v>141.9</v>
      </c>
      <c r="BY29">
        <v>141</v>
      </c>
      <c r="BZ29">
        <v>141</v>
      </c>
      <c r="CA29">
        <v>141.19999999999999</v>
      </c>
      <c r="CB29">
        <v>142.4</v>
      </c>
      <c r="CC29">
        <v>143.6</v>
      </c>
      <c r="CD29">
        <v>144.9</v>
      </c>
      <c r="CE29">
        <v>145.69999999999999</v>
      </c>
      <c r="CF29">
        <v>146.69999999999999</v>
      </c>
      <c r="CG29">
        <v>148.30000000000001</v>
      </c>
      <c r="CH29">
        <v>149.9</v>
      </c>
      <c r="CI29">
        <v>152.30000000000001</v>
      </c>
      <c r="CJ29">
        <v>151.9</v>
      </c>
      <c r="CK29">
        <v>150.4</v>
      </c>
      <c r="CL29">
        <v>149.80000000000001</v>
      </c>
      <c r="CM29" t="s">
        <v>32</v>
      </c>
      <c r="CN29" t="s">
        <v>32</v>
      </c>
      <c r="CO29">
        <v>152.69999999999999</v>
      </c>
      <c r="CP29">
        <v>152.69999999999999</v>
      </c>
      <c r="CQ29">
        <v>154.69999999999999</v>
      </c>
      <c r="CR29">
        <v>155.4</v>
      </c>
      <c r="CS29">
        <v>157.5</v>
      </c>
      <c r="CT29">
        <v>159.80000000000001</v>
      </c>
      <c r="CU29">
        <v>160.69999999999999</v>
      </c>
      <c r="CV29">
        <v>158.5</v>
      </c>
      <c r="CW29">
        <v>156.69999999999999</v>
      </c>
      <c r="CX29">
        <v>156.69999999999999</v>
      </c>
      <c r="CY29">
        <v>157.6</v>
      </c>
      <c r="CZ29">
        <v>161.1</v>
      </c>
      <c r="DA29">
        <v>162.1</v>
      </c>
      <c r="DB29">
        <v>163.19999999999999</v>
      </c>
      <c r="DC29">
        <v>163.6</v>
      </c>
      <c r="DD29">
        <v>164</v>
      </c>
      <c r="DE29">
        <v>166.3</v>
      </c>
      <c r="DF29">
        <v>167.6</v>
      </c>
      <c r="DG29">
        <v>167</v>
      </c>
      <c r="DH29">
        <v>166.4</v>
      </c>
      <c r="DI29">
        <v>166.7</v>
      </c>
      <c r="DJ29">
        <v>168.7</v>
      </c>
      <c r="DK29">
        <v>170.8</v>
      </c>
      <c r="DL29">
        <v>172.5</v>
      </c>
      <c r="DM29">
        <v>173.6</v>
      </c>
      <c r="DN29">
        <v>174.3</v>
      </c>
      <c r="DO29">
        <v>175.3</v>
      </c>
      <c r="DP29">
        <v>176.4</v>
      </c>
      <c r="DQ29">
        <v>177.9</v>
      </c>
      <c r="DR29">
        <v>177.8</v>
      </c>
      <c r="DS29">
        <v>177.1</v>
      </c>
      <c r="DT29">
        <v>177.8</v>
      </c>
      <c r="DU29">
        <v>178</v>
      </c>
      <c r="DV29">
        <v>178</v>
      </c>
      <c r="DW29">
        <v>178.8</v>
      </c>
      <c r="DX29">
        <v>179.8</v>
      </c>
    </row>
    <row r="30" spans="1:128" x14ac:dyDescent="0.3">
      <c r="A30" t="s">
        <v>3</v>
      </c>
      <c r="B30" t="s">
        <v>66</v>
      </c>
      <c r="C30" s="4" t="s">
        <v>34</v>
      </c>
      <c r="E30">
        <v>108.4</v>
      </c>
      <c r="F30">
        <v>110.4</v>
      </c>
      <c r="G30">
        <v>111.4</v>
      </c>
      <c r="H30">
        <v>111.6</v>
      </c>
      <c r="I30">
        <v>112.3</v>
      </c>
      <c r="J30">
        <v>113.8</v>
      </c>
      <c r="K30">
        <v>114.8</v>
      </c>
      <c r="L30">
        <v>115.6</v>
      </c>
      <c r="M30">
        <v>116.4</v>
      </c>
      <c r="N30">
        <v>117.1</v>
      </c>
      <c r="O30">
        <v>118.1</v>
      </c>
      <c r="P30">
        <v>119.1</v>
      </c>
      <c r="Q30">
        <v>119.6</v>
      </c>
      <c r="R30">
        <v>120.2</v>
      </c>
      <c r="S30">
        <v>120.7</v>
      </c>
      <c r="T30">
        <v>120.9</v>
      </c>
      <c r="U30">
        <v>121.1</v>
      </c>
      <c r="V30">
        <v>121.5</v>
      </c>
      <c r="W30">
        <v>122.4</v>
      </c>
      <c r="X30">
        <v>122.7</v>
      </c>
      <c r="Y30">
        <v>122.9</v>
      </c>
      <c r="Z30">
        <v>123.2</v>
      </c>
      <c r="AA30">
        <v>123.3</v>
      </c>
      <c r="AB30">
        <v>122.9</v>
      </c>
      <c r="AC30">
        <v>123.4</v>
      </c>
      <c r="AD30">
        <v>123.7</v>
      </c>
      <c r="AE30">
        <v>123.5</v>
      </c>
      <c r="AF30">
        <v>123.5</v>
      </c>
      <c r="AG30">
        <v>123.6</v>
      </c>
      <c r="AH30">
        <v>123.9</v>
      </c>
      <c r="AI30">
        <v>123.7</v>
      </c>
      <c r="AJ30">
        <v>124.2</v>
      </c>
      <c r="AK30">
        <v>124.6</v>
      </c>
      <c r="AL30">
        <v>125</v>
      </c>
      <c r="AM30">
        <v>125.4</v>
      </c>
      <c r="AN30">
        <v>125.7</v>
      </c>
      <c r="AO30">
        <v>126.1</v>
      </c>
      <c r="AP30">
        <v>126.4</v>
      </c>
      <c r="AQ30">
        <v>126.5</v>
      </c>
      <c r="AR30">
        <v>126.6</v>
      </c>
      <c r="AS30">
        <v>126.8</v>
      </c>
      <c r="AT30">
        <v>127.7</v>
      </c>
      <c r="AU30">
        <v>128.5</v>
      </c>
      <c r="AV30">
        <v>129.30000000000001</v>
      </c>
      <c r="AW30">
        <v>129.9</v>
      </c>
      <c r="AX30">
        <v>130.5</v>
      </c>
      <c r="AY30">
        <v>131.4</v>
      </c>
      <c r="AZ30">
        <v>132.30000000000001</v>
      </c>
      <c r="BA30">
        <v>132.80000000000001</v>
      </c>
      <c r="BB30">
        <v>133.1</v>
      </c>
      <c r="BC30">
        <v>133.30000000000001</v>
      </c>
      <c r="BD30">
        <v>133</v>
      </c>
      <c r="BE30">
        <v>132.9</v>
      </c>
      <c r="BF30">
        <v>133.30000000000001</v>
      </c>
      <c r="BG30">
        <v>133.6</v>
      </c>
      <c r="BH30">
        <v>134.30000000000001</v>
      </c>
      <c r="BI30">
        <v>134.69999999999999</v>
      </c>
      <c r="BJ30">
        <v>135.30000000000001</v>
      </c>
      <c r="BK30">
        <v>135.69999999999999</v>
      </c>
      <c r="BL30">
        <v>135.80000000000001</v>
      </c>
      <c r="BM30">
        <v>136</v>
      </c>
      <c r="BN30">
        <v>135.9</v>
      </c>
      <c r="BO30">
        <v>136.19999999999999</v>
      </c>
      <c r="BP30">
        <v>136.4</v>
      </c>
      <c r="BQ30">
        <v>136.6</v>
      </c>
      <c r="BR30">
        <v>136.9</v>
      </c>
      <c r="BS30">
        <v>137.5</v>
      </c>
      <c r="BT30">
        <v>138.30000000000001</v>
      </c>
      <c r="BU30">
        <v>138.6</v>
      </c>
      <c r="BV30">
        <v>137.4</v>
      </c>
      <c r="BW30">
        <v>137.4</v>
      </c>
      <c r="BX30">
        <v>137.5</v>
      </c>
      <c r="BY30">
        <v>137.1</v>
      </c>
      <c r="BZ30">
        <v>137.6</v>
      </c>
      <c r="CA30">
        <v>137.80000000000001</v>
      </c>
      <c r="CB30">
        <v>138.30000000000001</v>
      </c>
      <c r="CC30">
        <v>138.69999999999999</v>
      </c>
      <c r="CD30">
        <v>139.30000000000001</v>
      </c>
      <c r="CE30">
        <v>140.1</v>
      </c>
      <c r="CF30">
        <v>140.9</v>
      </c>
      <c r="CG30">
        <v>141.80000000000001</v>
      </c>
      <c r="CH30">
        <v>142.5</v>
      </c>
      <c r="CI30">
        <v>143.5</v>
      </c>
      <c r="CJ30">
        <v>144.30000000000001</v>
      </c>
      <c r="CK30">
        <v>144.80000000000001</v>
      </c>
      <c r="CL30">
        <v>145.1</v>
      </c>
      <c r="CM30">
        <v>148.69999999999999</v>
      </c>
      <c r="CN30" t="s">
        <v>32</v>
      </c>
      <c r="CO30">
        <v>149.6</v>
      </c>
      <c r="CP30">
        <v>149.6</v>
      </c>
      <c r="CQ30">
        <v>148.9</v>
      </c>
      <c r="CR30">
        <v>148.4</v>
      </c>
      <c r="CS30">
        <v>147.5</v>
      </c>
      <c r="CT30">
        <v>146.80000000000001</v>
      </c>
      <c r="CU30">
        <v>146</v>
      </c>
      <c r="CV30">
        <v>144.9</v>
      </c>
      <c r="CW30">
        <v>144.30000000000001</v>
      </c>
      <c r="CX30">
        <v>144.1</v>
      </c>
      <c r="CY30">
        <v>144.30000000000001</v>
      </c>
      <c r="CZ30">
        <v>146.30000000000001</v>
      </c>
      <c r="DA30">
        <v>146.69999999999999</v>
      </c>
      <c r="DB30">
        <v>146.4</v>
      </c>
      <c r="DC30">
        <v>146.6</v>
      </c>
      <c r="DD30">
        <v>146.6</v>
      </c>
      <c r="DE30">
        <v>147.4</v>
      </c>
      <c r="DF30">
        <v>148.19999999999999</v>
      </c>
      <c r="DG30">
        <v>148.69999999999999</v>
      </c>
      <c r="DH30">
        <v>149.5</v>
      </c>
      <c r="DI30">
        <v>150</v>
      </c>
      <c r="DJ30">
        <v>151.30000000000001</v>
      </c>
      <c r="DK30">
        <v>152.9</v>
      </c>
      <c r="DL30">
        <v>154.1</v>
      </c>
      <c r="DM30">
        <v>155</v>
      </c>
      <c r="DN30">
        <v>156.5</v>
      </c>
      <c r="DO30">
        <v>160.30000000000001</v>
      </c>
      <c r="DP30">
        <v>163.5</v>
      </c>
      <c r="DQ30">
        <v>165.2</v>
      </c>
      <c r="DR30">
        <v>167.4</v>
      </c>
      <c r="DS30">
        <v>169.2</v>
      </c>
      <c r="DT30">
        <v>173.8</v>
      </c>
      <c r="DU30">
        <v>174.4</v>
      </c>
      <c r="DV30">
        <v>174.4</v>
      </c>
      <c r="DW30">
        <v>173.8</v>
      </c>
      <c r="DX30">
        <v>173.7</v>
      </c>
    </row>
    <row r="31" spans="1:128" x14ac:dyDescent="0.3">
      <c r="A31" t="s">
        <v>4</v>
      </c>
      <c r="B31" t="s">
        <v>66</v>
      </c>
      <c r="C31" s="4" t="s">
        <v>34</v>
      </c>
      <c r="E31">
        <v>107.3</v>
      </c>
      <c r="F31">
        <v>110.2</v>
      </c>
      <c r="G31">
        <v>109.7</v>
      </c>
      <c r="H31">
        <v>110.9</v>
      </c>
      <c r="I31">
        <v>111.3</v>
      </c>
      <c r="J31">
        <v>114.9</v>
      </c>
      <c r="K31">
        <v>116.4</v>
      </c>
      <c r="L31">
        <v>117.2</v>
      </c>
      <c r="M31">
        <v>116.9</v>
      </c>
      <c r="N31">
        <v>116.3</v>
      </c>
      <c r="O31">
        <v>115.4</v>
      </c>
      <c r="P31">
        <v>116.7</v>
      </c>
      <c r="Q31">
        <v>118.8</v>
      </c>
      <c r="R31">
        <v>119.2</v>
      </c>
      <c r="S31">
        <v>119.3</v>
      </c>
      <c r="T31">
        <v>119.9</v>
      </c>
      <c r="U31">
        <v>121.6</v>
      </c>
      <c r="V31">
        <v>123.1</v>
      </c>
      <c r="W31">
        <v>123.9</v>
      </c>
      <c r="X31">
        <v>124.4</v>
      </c>
      <c r="Y31">
        <v>123.5</v>
      </c>
      <c r="Z31">
        <v>123.8</v>
      </c>
      <c r="AA31">
        <v>123.7</v>
      </c>
      <c r="AB31">
        <v>123.2</v>
      </c>
      <c r="AC31">
        <v>123.9</v>
      </c>
      <c r="AD31">
        <v>125.1</v>
      </c>
      <c r="AE31">
        <v>125.4</v>
      </c>
      <c r="AF31">
        <v>126.4</v>
      </c>
      <c r="AG31">
        <v>128</v>
      </c>
      <c r="AH31">
        <v>131.80000000000001</v>
      </c>
      <c r="AI31">
        <v>132.5</v>
      </c>
      <c r="AJ31">
        <v>131.4</v>
      </c>
      <c r="AK31">
        <v>130.4</v>
      </c>
      <c r="AL31">
        <v>129.80000000000001</v>
      </c>
      <c r="AM31">
        <v>130.30000000000001</v>
      </c>
      <c r="AN31">
        <v>131.4</v>
      </c>
      <c r="AO31">
        <v>134.1</v>
      </c>
      <c r="AP31">
        <v>134.19999999999999</v>
      </c>
      <c r="AQ31">
        <v>135.1</v>
      </c>
      <c r="AR31">
        <v>136.80000000000001</v>
      </c>
      <c r="AS31">
        <v>139.1</v>
      </c>
      <c r="AT31">
        <v>140.5</v>
      </c>
      <c r="AU31">
        <v>141.19999999999999</v>
      </c>
      <c r="AV31">
        <v>139.30000000000001</v>
      </c>
      <c r="AW31">
        <v>138</v>
      </c>
      <c r="AX31">
        <v>137.9</v>
      </c>
      <c r="AY31">
        <v>137.80000000000001</v>
      </c>
      <c r="AZ31">
        <v>137.6</v>
      </c>
      <c r="BA31">
        <v>138.19999999999999</v>
      </c>
      <c r="BB31">
        <v>138.80000000000001</v>
      </c>
      <c r="BC31">
        <v>139</v>
      </c>
      <c r="BD31">
        <v>139.4</v>
      </c>
      <c r="BE31">
        <v>141.6</v>
      </c>
      <c r="BF31">
        <v>145.5</v>
      </c>
      <c r="BG31">
        <v>145.69999999999999</v>
      </c>
      <c r="BH31">
        <v>143.4</v>
      </c>
      <c r="BI31">
        <v>142.4</v>
      </c>
      <c r="BJ31">
        <v>142.19999999999999</v>
      </c>
      <c r="BK31">
        <v>142.4</v>
      </c>
      <c r="BL31">
        <v>143.30000000000001</v>
      </c>
      <c r="BM31">
        <v>144.19999999999999</v>
      </c>
      <c r="BN31">
        <v>143.5</v>
      </c>
      <c r="BO31">
        <v>143.6</v>
      </c>
      <c r="BP31">
        <v>144.4</v>
      </c>
      <c r="BQ31">
        <v>146.6</v>
      </c>
      <c r="BR31">
        <v>148.69999999999999</v>
      </c>
      <c r="BS31">
        <v>149.1</v>
      </c>
      <c r="BT31">
        <v>148</v>
      </c>
      <c r="BU31">
        <v>145.80000000000001</v>
      </c>
      <c r="BV31">
        <v>149.5</v>
      </c>
      <c r="BW31">
        <v>149.19999999999999</v>
      </c>
      <c r="BX31">
        <v>150.5</v>
      </c>
      <c r="BY31">
        <v>151.4</v>
      </c>
      <c r="BZ31">
        <v>152</v>
      </c>
      <c r="CA31">
        <v>153</v>
      </c>
      <c r="CB31">
        <v>158.5</v>
      </c>
      <c r="CC31">
        <v>162.1</v>
      </c>
      <c r="CD31">
        <v>162.69999999999999</v>
      </c>
      <c r="CE31">
        <v>160.6</v>
      </c>
      <c r="CF31">
        <v>160.80000000000001</v>
      </c>
      <c r="CG31">
        <v>161</v>
      </c>
      <c r="CH31">
        <v>163.19999999999999</v>
      </c>
      <c r="CI31">
        <v>165</v>
      </c>
      <c r="CJ31">
        <v>167.4</v>
      </c>
      <c r="CK31">
        <v>167.5</v>
      </c>
      <c r="CL31">
        <v>167</v>
      </c>
      <c r="CM31" t="s">
        <v>32</v>
      </c>
      <c r="CN31" t="s">
        <v>32</v>
      </c>
      <c r="CO31">
        <v>192.7</v>
      </c>
      <c r="CP31">
        <v>192.7</v>
      </c>
      <c r="CQ31">
        <v>190.9</v>
      </c>
      <c r="CR31">
        <v>187.1</v>
      </c>
      <c r="CS31">
        <v>188.9</v>
      </c>
      <c r="CT31">
        <v>191</v>
      </c>
      <c r="CU31">
        <v>191</v>
      </c>
      <c r="CV31">
        <v>190.1</v>
      </c>
      <c r="CW31">
        <v>186.5</v>
      </c>
      <c r="CX31">
        <v>192.2</v>
      </c>
      <c r="CY31">
        <v>198</v>
      </c>
      <c r="CZ31">
        <v>200.5</v>
      </c>
      <c r="DA31">
        <v>202</v>
      </c>
      <c r="DB31">
        <v>206.8</v>
      </c>
      <c r="DC31">
        <v>204</v>
      </c>
      <c r="DD31">
        <v>204</v>
      </c>
      <c r="DE31">
        <v>204.6</v>
      </c>
      <c r="DF31">
        <v>201.6</v>
      </c>
      <c r="DG31">
        <v>198.8</v>
      </c>
      <c r="DH31">
        <v>198.7</v>
      </c>
      <c r="DI31">
        <v>200.6</v>
      </c>
      <c r="DJ31">
        <v>210.7</v>
      </c>
      <c r="DK31">
        <v>211.8</v>
      </c>
      <c r="DL31">
        <v>217</v>
      </c>
      <c r="DM31">
        <v>219.4</v>
      </c>
      <c r="DN31">
        <v>213</v>
      </c>
      <c r="DO31">
        <v>206.5</v>
      </c>
      <c r="DP31">
        <v>209.2</v>
      </c>
      <c r="DQ31">
        <v>210.9</v>
      </c>
      <c r="DR31">
        <v>209.4</v>
      </c>
      <c r="DS31">
        <v>209</v>
      </c>
      <c r="DT31">
        <v>210.7</v>
      </c>
      <c r="DU31">
        <v>207.7</v>
      </c>
      <c r="DV31">
        <v>207.7</v>
      </c>
      <c r="DW31">
        <v>209.3</v>
      </c>
      <c r="DX31">
        <v>214.3</v>
      </c>
    </row>
    <row r="32" spans="1:128" x14ac:dyDescent="0.3">
      <c r="A32" t="s">
        <v>5</v>
      </c>
      <c r="B32" t="s">
        <v>66</v>
      </c>
      <c r="C32" s="4" t="s">
        <v>34</v>
      </c>
      <c r="E32">
        <v>110</v>
      </c>
      <c r="F32">
        <v>112.8</v>
      </c>
      <c r="G32">
        <v>111.2</v>
      </c>
      <c r="H32">
        <v>106.6</v>
      </c>
      <c r="I32">
        <v>104.7</v>
      </c>
      <c r="J32">
        <v>109.8</v>
      </c>
      <c r="K32">
        <v>111.9</v>
      </c>
      <c r="L32">
        <v>111.7</v>
      </c>
      <c r="M32">
        <v>112.3</v>
      </c>
      <c r="N32">
        <v>113.3</v>
      </c>
      <c r="O32">
        <v>118.7</v>
      </c>
      <c r="P32">
        <v>123.5</v>
      </c>
      <c r="Q32">
        <v>124.1</v>
      </c>
      <c r="R32">
        <v>122.5</v>
      </c>
      <c r="S32">
        <v>121</v>
      </c>
      <c r="T32">
        <v>116.2</v>
      </c>
      <c r="U32">
        <v>115.9</v>
      </c>
      <c r="V32">
        <v>115.8</v>
      </c>
      <c r="W32">
        <v>117.8</v>
      </c>
      <c r="X32">
        <v>117.3</v>
      </c>
      <c r="Y32">
        <v>117.3</v>
      </c>
      <c r="Z32">
        <v>118.1</v>
      </c>
      <c r="AA32">
        <v>121</v>
      </c>
      <c r="AB32">
        <v>123.5</v>
      </c>
      <c r="AC32">
        <v>123.8</v>
      </c>
      <c r="AD32">
        <v>121.1</v>
      </c>
      <c r="AE32">
        <v>116.8</v>
      </c>
      <c r="AF32">
        <v>114.4</v>
      </c>
      <c r="AG32">
        <v>115</v>
      </c>
      <c r="AH32">
        <v>121.6</v>
      </c>
      <c r="AI32">
        <v>121</v>
      </c>
      <c r="AJ32">
        <v>120.1</v>
      </c>
      <c r="AK32">
        <v>118.7</v>
      </c>
      <c r="AL32">
        <v>118.9</v>
      </c>
      <c r="AM32">
        <v>121.6</v>
      </c>
      <c r="AN32">
        <v>124.8</v>
      </c>
      <c r="AO32">
        <v>128.6</v>
      </c>
      <c r="AP32">
        <v>128.69999999999999</v>
      </c>
      <c r="AQ32">
        <v>124.6</v>
      </c>
      <c r="AR32">
        <v>122</v>
      </c>
      <c r="AS32">
        <v>125.4</v>
      </c>
      <c r="AT32">
        <v>128.30000000000001</v>
      </c>
      <c r="AU32">
        <v>132.30000000000001</v>
      </c>
      <c r="AV32">
        <v>131.6</v>
      </c>
      <c r="AW32">
        <v>130.5</v>
      </c>
      <c r="AX32">
        <v>130.19999999999999</v>
      </c>
      <c r="AY32">
        <v>132</v>
      </c>
      <c r="AZ32">
        <v>132.9</v>
      </c>
      <c r="BA32">
        <v>132.19999999999999</v>
      </c>
      <c r="BB32">
        <v>129.30000000000001</v>
      </c>
      <c r="BC32">
        <v>128.6</v>
      </c>
      <c r="BD32">
        <v>126.1</v>
      </c>
      <c r="BE32">
        <v>126.3</v>
      </c>
      <c r="BF32">
        <v>128.1</v>
      </c>
      <c r="BG32">
        <v>129.6</v>
      </c>
      <c r="BH32">
        <v>129.30000000000001</v>
      </c>
      <c r="BI32">
        <v>130.19999999999999</v>
      </c>
      <c r="BJ32">
        <v>131.19999999999999</v>
      </c>
      <c r="BK32">
        <v>142.9</v>
      </c>
      <c r="BL32">
        <v>145.19999999999999</v>
      </c>
      <c r="BM32">
        <v>143.69999999999999</v>
      </c>
      <c r="BN32">
        <v>140.30000000000001</v>
      </c>
      <c r="BO32">
        <v>138.30000000000001</v>
      </c>
      <c r="BP32">
        <v>133.9</v>
      </c>
      <c r="BQ32">
        <v>133.6</v>
      </c>
      <c r="BR32">
        <v>135.6</v>
      </c>
      <c r="BS32">
        <v>139.19999999999999</v>
      </c>
      <c r="BT32">
        <v>138.1</v>
      </c>
      <c r="BU32">
        <v>135.1</v>
      </c>
      <c r="BV32">
        <v>137.30000000000001</v>
      </c>
      <c r="BW32">
        <v>137.1</v>
      </c>
      <c r="BX32">
        <v>138.80000000000001</v>
      </c>
      <c r="BY32">
        <v>140.19999999999999</v>
      </c>
      <c r="BZ32">
        <v>141.5</v>
      </c>
      <c r="CA32">
        <v>140.30000000000001</v>
      </c>
      <c r="CB32">
        <v>136</v>
      </c>
      <c r="CC32">
        <v>137.80000000000001</v>
      </c>
      <c r="CD32">
        <v>140</v>
      </c>
      <c r="CE32">
        <v>138.5</v>
      </c>
      <c r="CF32">
        <v>139.6</v>
      </c>
      <c r="CG32">
        <v>142.6</v>
      </c>
      <c r="CH32">
        <v>145.6</v>
      </c>
      <c r="CI32">
        <v>151.1</v>
      </c>
      <c r="CJ32">
        <v>154.9</v>
      </c>
      <c r="CK32">
        <v>151.80000000000001</v>
      </c>
      <c r="CL32">
        <v>148.1</v>
      </c>
      <c r="CM32">
        <v>148.80000000000001</v>
      </c>
      <c r="CN32" t="s">
        <v>32</v>
      </c>
      <c r="CO32">
        <v>151.4</v>
      </c>
      <c r="CP32">
        <v>151.4</v>
      </c>
      <c r="CQ32">
        <v>150.80000000000001</v>
      </c>
      <c r="CR32">
        <v>152.5</v>
      </c>
      <c r="CS32">
        <v>161.4</v>
      </c>
      <c r="CT32">
        <v>173.6</v>
      </c>
      <c r="CU32">
        <v>175.3</v>
      </c>
      <c r="CV32">
        <v>175.3</v>
      </c>
      <c r="CW32">
        <v>168.7</v>
      </c>
      <c r="CX32">
        <v>163.80000000000001</v>
      </c>
      <c r="CY32">
        <v>164.6</v>
      </c>
      <c r="CZ32">
        <v>170.3</v>
      </c>
      <c r="DA32">
        <v>180.7</v>
      </c>
      <c r="DB32">
        <v>182.2</v>
      </c>
      <c r="DC32">
        <v>172.8</v>
      </c>
      <c r="DD32">
        <v>172.8</v>
      </c>
      <c r="DE32">
        <v>171.2</v>
      </c>
      <c r="DF32">
        <v>173</v>
      </c>
      <c r="DG32">
        <v>177.9</v>
      </c>
      <c r="DH32">
        <v>178.8</v>
      </c>
      <c r="DI32">
        <v>175.8</v>
      </c>
      <c r="DJ32">
        <v>167.8</v>
      </c>
      <c r="DK32">
        <v>164.5</v>
      </c>
      <c r="DL32">
        <v>162.4</v>
      </c>
      <c r="DM32">
        <v>170.8</v>
      </c>
      <c r="DN32">
        <v>175.2</v>
      </c>
      <c r="DO32">
        <v>169.2</v>
      </c>
      <c r="DP32">
        <v>169.7</v>
      </c>
      <c r="DQ32">
        <v>170.9</v>
      </c>
      <c r="DR32">
        <v>181.4</v>
      </c>
      <c r="DS32">
        <v>190.2</v>
      </c>
      <c r="DT32">
        <v>194.5</v>
      </c>
      <c r="DU32">
        <v>175.2</v>
      </c>
      <c r="DV32">
        <v>175.2</v>
      </c>
      <c r="DW32">
        <v>169.6</v>
      </c>
      <c r="DX32">
        <v>173.2</v>
      </c>
    </row>
    <row r="33" spans="1:128" x14ac:dyDescent="0.3">
      <c r="A33" t="s">
        <v>6</v>
      </c>
      <c r="B33" t="s">
        <v>66</v>
      </c>
      <c r="C33" s="4" t="s">
        <v>34</v>
      </c>
      <c r="E33">
        <v>104.4</v>
      </c>
      <c r="F33">
        <v>104.9</v>
      </c>
      <c r="G33">
        <v>105.1</v>
      </c>
      <c r="H33">
        <v>105.7</v>
      </c>
      <c r="I33">
        <v>106.8</v>
      </c>
      <c r="J33">
        <v>107.9</v>
      </c>
      <c r="K33">
        <v>108.9</v>
      </c>
      <c r="L33">
        <v>109.6</v>
      </c>
      <c r="M33">
        <v>110.5</v>
      </c>
      <c r="N33">
        <v>111.2</v>
      </c>
      <c r="O33">
        <v>112.5</v>
      </c>
      <c r="P33">
        <v>113.4</v>
      </c>
      <c r="Q33">
        <v>114.1</v>
      </c>
      <c r="R33">
        <v>115.1</v>
      </c>
      <c r="S33">
        <v>116.1</v>
      </c>
      <c r="T33">
        <v>117</v>
      </c>
      <c r="U33">
        <v>118.4</v>
      </c>
      <c r="V33">
        <v>119.7</v>
      </c>
      <c r="W33">
        <v>121</v>
      </c>
      <c r="X33">
        <v>122</v>
      </c>
      <c r="Y33">
        <v>122.7</v>
      </c>
      <c r="Z33">
        <v>123.2</v>
      </c>
      <c r="AA33">
        <v>124.2</v>
      </c>
      <c r="AB33">
        <v>124.5</v>
      </c>
      <c r="AC33">
        <v>125</v>
      </c>
      <c r="AD33">
        <v>125.7</v>
      </c>
      <c r="AE33">
        <v>126</v>
      </c>
      <c r="AF33">
        <v>126.6</v>
      </c>
      <c r="AG33">
        <v>127.3</v>
      </c>
      <c r="AH33">
        <v>128.19999999999999</v>
      </c>
      <c r="AI33">
        <v>128.30000000000001</v>
      </c>
      <c r="AJ33">
        <v>128.5</v>
      </c>
      <c r="AK33">
        <v>128.9</v>
      </c>
      <c r="AL33">
        <v>129.1</v>
      </c>
      <c r="AM33">
        <v>129.19999999999999</v>
      </c>
      <c r="AN33">
        <v>129.4</v>
      </c>
      <c r="AO33">
        <v>129.9</v>
      </c>
      <c r="AP33">
        <v>130.30000000000001</v>
      </c>
      <c r="AQ33">
        <v>130.19999999999999</v>
      </c>
      <c r="AR33">
        <v>130.9</v>
      </c>
      <c r="AS33">
        <v>131.69999999999999</v>
      </c>
      <c r="AT33">
        <v>132.6</v>
      </c>
      <c r="AU33">
        <v>133.5</v>
      </c>
      <c r="AV33">
        <v>134.1</v>
      </c>
      <c r="AW33">
        <v>134.4</v>
      </c>
      <c r="AX33">
        <v>134.80000000000001</v>
      </c>
      <c r="AY33">
        <v>135</v>
      </c>
      <c r="AZ33">
        <v>135.1</v>
      </c>
      <c r="BA33">
        <v>135.4</v>
      </c>
      <c r="BB33">
        <v>135.80000000000001</v>
      </c>
      <c r="BC33">
        <v>136.30000000000001</v>
      </c>
      <c r="BD33">
        <v>137.19999999999999</v>
      </c>
      <c r="BE33">
        <v>137.69999999999999</v>
      </c>
      <c r="BF33">
        <v>138.1</v>
      </c>
      <c r="BG33">
        <v>138.5</v>
      </c>
      <c r="BH33">
        <v>139</v>
      </c>
      <c r="BI33">
        <v>139.6</v>
      </c>
      <c r="BJ33">
        <v>140.6</v>
      </c>
      <c r="BK33">
        <v>140.80000000000001</v>
      </c>
      <c r="BL33">
        <v>141</v>
      </c>
      <c r="BM33">
        <v>141.1</v>
      </c>
      <c r="BN33">
        <v>140.9</v>
      </c>
      <c r="BO33">
        <v>141.19999999999999</v>
      </c>
      <c r="BP33">
        <v>141.6</v>
      </c>
      <c r="BQ33">
        <v>142.1</v>
      </c>
      <c r="BR33">
        <v>142.30000000000001</v>
      </c>
      <c r="BS33">
        <v>142.5</v>
      </c>
      <c r="BT33">
        <v>142.6</v>
      </c>
      <c r="BU33">
        <v>142.9</v>
      </c>
      <c r="BV33">
        <v>141.9</v>
      </c>
      <c r="BW33">
        <v>141.80000000000001</v>
      </c>
      <c r="BX33">
        <v>142.1</v>
      </c>
      <c r="BY33">
        <v>142.1</v>
      </c>
      <c r="BZ33">
        <v>142.19999999999999</v>
      </c>
      <c r="CA33">
        <v>142.30000000000001</v>
      </c>
      <c r="CB33">
        <v>142.5</v>
      </c>
      <c r="CC33">
        <v>143.30000000000001</v>
      </c>
      <c r="CD33">
        <v>144</v>
      </c>
      <c r="CE33">
        <v>144.69999999999999</v>
      </c>
      <c r="CF33">
        <v>145.4</v>
      </c>
      <c r="CG33">
        <v>146.19999999999999</v>
      </c>
      <c r="CH33">
        <v>146.69999999999999</v>
      </c>
      <c r="CI33">
        <v>148.30000000000001</v>
      </c>
      <c r="CJ33">
        <v>150.1</v>
      </c>
      <c r="CK33">
        <v>150.80000000000001</v>
      </c>
      <c r="CL33">
        <v>151.5</v>
      </c>
      <c r="CM33">
        <v>155.6</v>
      </c>
      <c r="CN33" t="s">
        <v>32</v>
      </c>
      <c r="CO33">
        <v>153.30000000000001</v>
      </c>
      <c r="CP33">
        <v>153.30000000000001</v>
      </c>
      <c r="CQ33">
        <v>153.30000000000001</v>
      </c>
      <c r="CR33">
        <v>153.6</v>
      </c>
      <c r="CS33">
        <v>153.6</v>
      </c>
      <c r="CT33">
        <v>153.80000000000001</v>
      </c>
      <c r="CU33">
        <v>154.1</v>
      </c>
      <c r="CV33">
        <v>154.1</v>
      </c>
      <c r="CW33">
        <v>154.69999999999999</v>
      </c>
      <c r="CX33">
        <v>154.9</v>
      </c>
      <c r="CY33">
        <v>155.4</v>
      </c>
      <c r="CZ33">
        <v>156.1</v>
      </c>
      <c r="DA33">
        <v>156.19999999999999</v>
      </c>
      <c r="DB33">
        <v>157.5</v>
      </c>
      <c r="DC33">
        <v>158.4</v>
      </c>
      <c r="DD33">
        <v>158.4</v>
      </c>
      <c r="DE33">
        <v>158.69999999999999</v>
      </c>
      <c r="DF33">
        <v>159.30000000000001</v>
      </c>
      <c r="DG33">
        <v>159.9</v>
      </c>
      <c r="DH33">
        <v>160.5</v>
      </c>
      <c r="DI33">
        <v>160.69999999999999</v>
      </c>
      <c r="DJ33">
        <v>162.19999999999999</v>
      </c>
      <c r="DK33">
        <v>163.9</v>
      </c>
      <c r="DL33">
        <v>164.9</v>
      </c>
      <c r="DM33">
        <v>165.8</v>
      </c>
      <c r="DN33">
        <v>166.6</v>
      </c>
      <c r="DO33">
        <v>168.1</v>
      </c>
      <c r="DP33">
        <v>169.7</v>
      </c>
      <c r="DQ33">
        <v>170.9</v>
      </c>
      <c r="DR33">
        <v>172.3</v>
      </c>
      <c r="DS33">
        <v>173.6</v>
      </c>
      <c r="DT33">
        <v>174.6</v>
      </c>
      <c r="DU33">
        <v>177.3</v>
      </c>
      <c r="DV33">
        <v>177.3</v>
      </c>
      <c r="DW33">
        <v>178.4</v>
      </c>
      <c r="DX33">
        <v>179.5</v>
      </c>
    </row>
    <row r="34" spans="1:128" x14ac:dyDescent="0.3">
      <c r="A34" t="s">
        <v>7</v>
      </c>
      <c r="B34" t="s">
        <v>66</v>
      </c>
      <c r="C34" s="4" t="s">
        <v>34</v>
      </c>
      <c r="E34">
        <v>105.1</v>
      </c>
      <c r="F34">
        <v>105.5</v>
      </c>
      <c r="G34">
        <v>104.9</v>
      </c>
      <c r="H34">
        <v>104.4</v>
      </c>
      <c r="I34">
        <v>103.9</v>
      </c>
      <c r="J34">
        <v>104.2</v>
      </c>
      <c r="K34">
        <v>104.3</v>
      </c>
      <c r="L34">
        <v>104.5</v>
      </c>
      <c r="M34">
        <v>105.3</v>
      </c>
      <c r="N34">
        <v>105.7</v>
      </c>
      <c r="O34">
        <v>106.8</v>
      </c>
      <c r="P34">
        <v>107.3</v>
      </c>
      <c r="Q34">
        <v>106.8</v>
      </c>
      <c r="R34">
        <v>106.6</v>
      </c>
      <c r="S34">
        <v>106.9</v>
      </c>
      <c r="T34">
        <v>107.3</v>
      </c>
      <c r="U34">
        <v>107.7</v>
      </c>
      <c r="V34">
        <v>107.8</v>
      </c>
      <c r="W34">
        <v>107.9</v>
      </c>
      <c r="X34">
        <v>108</v>
      </c>
      <c r="Y34">
        <v>107.9</v>
      </c>
      <c r="Z34">
        <v>107.9</v>
      </c>
      <c r="AA34">
        <v>107.8</v>
      </c>
      <c r="AB34">
        <v>107.6</v>
      </c>
      <c r="AC34">
        <v>108.5</v>
      </c>
      <c r="AD34">
        <v>109.1</v>
      </c>
      <c r="AE34">
        <v>109.2</v>
      </c>
      <c r="AF34">
        <v>109.2</v>
      </c>
      <c r="AG34">
        <v>109.8</v>
      </c>
      <c r="AH34">
        <v>111.1</v>
      </c>
      <c r="AI34">
        <v>110.9</v>
      </c>
      <c r="AJ34">
        <v>111.4</v>
      </c>
      <c r="AK34">
        <v>111.9</v>
      </c>
      <c r="AL34">
        <v>113.3</v>
      </c>
      <c r="AM34">
        <v>114.9</v>
      </c>
      <c r="AN34">
        <v>115.3</v>
      </c>
      <c r="AO34">
        <v>115.5</v>
      </c>
      <c r="AP34">
        <v>114.8</v>
      </c>
      <c r="AQ34">
        <v>114.5</v>
      </c>
      <c r="AR34">
        <v>114.8</v>
      </c>
      <c r="AS34">
        <v>115</v>
      </c>
      <c r="AT34">
        <v>115.5</v>
      </c>
      <c r="AU34">
        <v>116.4</v>
      </c>
      <c r="AV34">
        <v>116.9</v>
      </c>
      <c r="AW34">
        <v>117.2</v>
      </c>
      <c r="AX34">
        <v>117.8</v>
      </c>
      <c r="AY34">
        <v>118</v>
      </c>
      <c r="AZ34">
        <v>118.6</v>
      </c>
      <c r="BA34">
        <v>119.1</v>
      </c>
      <c r="BB34">
        <v>119.2</v>
      </c>
      <c r="BC34">
        <v>118.8</v>
      </c>
      <c r="BD34">
        <v>118.4</v>
      </c>
      <c r="BE34">
        <v>118.1</v>
      </c>
      <c r="BF34">
        <v>118.2</v>
      </c>
      <c r="BG34">
        <v>118.1</v>
      </c>
      <c r="BH34">
        <v>118.1</v>
      </c>
      <c r="BI34">
        <v>118.4</v>
      </c>
      <c r="BJ34">
        <v>119</v>
      </c>
      <c r="BK34">
        <v>119.2</v>
      </c>
      <c r="BL34">
        <v>120.5</v>
      </c>
      <c r="BM34">
        <v>120.7</v>
      </c>
      <c r="BN34">
        <v>120.4</v>
      </c>
      <c r="BO34">
        <v>120.7</v>
      </c>
      <c r="BP34">
        <v>121</v>
      </c>
      <c r="BQ34">
        <v>121</v>
      </c>
      <c r="BR34">
        <v>121.3</v>
      </c>
      <c r="BS34">
        <v>121.4</v>
      </c>
      <c r="BT34">
        <v>122.2</v>
      </c>
      <c r="BU34">
        <v>122.1</v>
      </c>
      <c r="BV34">
        <v>121.1</v>
      </c>
      <c r="BW34">
        <v>121.1</v>
      </c>
      <c r="BX34">
        <v>122</v>
      </c>
      <c r="BY34">
        <v>121.8</v>
      </c>
      <c r="BZ34">
        <v>122</v>
      </c>
      <c r="CA34">
        <v>122</v>
      </c>
      <c r="CB34">
        <v>122</v>
      </c>
      <c r="CC34">
        <v>122.2</v>
      </c>
      <c r="CD34">
        <v>122.5</v>
      </c>
      <c r="CE34">
        <v>122.9</v>
      </c>
      <c r="CF34">
        <v>123.5</v>
      </c>
      <c r="CG34">
        <v>123.9</v>
      </c>
      <c r="CH34">
        <v>124.3</v>
      </c>
      <c r="CI34">
        <v>125.7</v>
      </c>
      <c r="CJ34">
        <v>129.9</v>
      </c>
      <c r="CK34">
        <v>131.4</v>
      </c>
      <c r="CL34">
        <v>131.19999999999999</v>
      </c>
      <c r="CM34">
        <v>135.1</v>
      </c>
      <c r="CN34" t="s">
        <v>32</v>
      </c>
      <c r="CO34">
        <v>136.30000000000001</v>
      </c>
      <c r="CP34">
        <v>136.30000000000001</v>
      </c>
      <c r="CQ34">
        <v>137.4</v>
      </c>
      <c r="CR34">
        <v>138.19999999999999</v>
      </c>
      <c r="CS34">
        <v>140.1</v>
      </c>
      <c r="CT34">
        <v>142.69999999999999</v>
      </c>
      <c r="CU34">
        <v>146.6</v>
      </c>
      <c r="CV34">
        <v>150.9</v>
      </c>
      <c r="CW34">
        <v>158.69999999999999</v>
      </c>
      <c r="CX34">
        <v>163.9</v>
      </c>
      <c r="CY34">
        <v>170.1</v>
      </c>
      <c r="CZ34">
        <v>178.7</v>
      </c>
      <c r="DA34">
        <v>183.7</v>
      </c>
      <c r="DB34">
        <v>182.1</v>
      </c>
      <c r="DC34">
        <v>188</v>
      </c>
      <c r="DD34">
        <v>188</v>
      </c>
      <c r="DE34">
        <v>190.6</v>
      </c>
      <c r="DF34">
        <v>190.1</v>
      </c>
      <c r="DG34">
        <v>187.6</v>
      </c>
      <c r="DH34">
        <v>184.7</v>
      </c>
      <c r="DI34">
        <v>184.9</v>
      </c>
      <c r="DJ34">
        <v>194.6</v>
      </c>
      <c r="DK34">
        <v>199.5</v>
      </c>
      <c r="DL34">
        <v>202.4</v>
      </c>
      <c r="DM34">
        <v>200.9</v>
      </c>
      <c r="DN34">
        <v>195.8</v>
      </c>
      <c r="DO34">
        <v>192.4</v>
      </c>
      <c r="DP34">
        <v>188.7</v>
      </c>
      <c r="DQ34">
        <v>186.5</v>
      </c>
      <c r="DR34">
        <v>188.9</v>
      </c>
      <c r="DS34">
        <v>188.5</v>
      </c>
      <c r="DT34">
        <v>187.2</v>
      </c>
      <c r="DU34">
        <v>179.3</v>
      </c>
      <c r="DV34">
        <v>179.2</v>
      </c>
      <c r="DW34">
        <v>174.9</v>
      </c>
      <c r="DX34">
        <v>170</v>
      </c>
    </row>
    <row r="35" spans="1:128" x14ac:dyDescent="0.3">
      <c r="A35" t="s">
        <v>8</v>
      </c>
      <c r="B35" t="s">
        <v>66</v>
      </c>
      <c r="C35" s="4" t="s">
        <v>34</v>
      </c>
      <c r="E35">
        <v>103.2</v>
      </c>
      <c r="F35">
        <v>103.6</v>
      </c>
      <c r="G35">
        <v>105.3</v>
      </c>
      <c r="H35">
        <v>108.9</v>
      </c>
      <c r="I35">
        <v>109.3</v>
      </c>
      <c r="J35">
        <v>110.7</v>
      </c>
      <c r="K35">
        <v>111.7</v>
      </c>
      <c r="L35">
        <v>109.8</v>
      </c>
      <c r="M35">
        <v>107.3</v>
      </c>
      <c r="N35">
        <v>109.9</v>
      </c>
      <c r="O35">
        <v>113.5</v>
      </c>
      <c r="P35">
        <v>113.3</v>
      </c>
      <c r="Q35">
        <v>113.9</v>
      </c>
      <c r="R35">
        <v>115.4</v>
      </c>
      <c r="S35">
        <v>118.7</v>
      </c>
      <c r="T35">
        <v>126.1</v>
      </c>
      <c r="U35">
        <v>127.7</v>
      </c>
      <c r="V35">
        <v>128.30000000000001</v>
      </c>
      <c r="W35">
        <v>131.19999999999999</v>
      </c>
      <c r="X35">
        <v>131.1</v>
      </c>
      <c r="Y35">
        <v>127.3</v>
      </c>
      <c r="Z35">
        <v>126.4</v>
      </c>
      <c r="AA35">
        <v>125.7</v>
      </c>
      <c r="AB35">
        <v>125.7</v>
      </c>
      <c r="AC35">
        <v>126.2</v>
      </c>
      <c r="AD35">
        <v>125.8</v>
      </c>
      <c r="AE35">
        <v>127.6</v>
      </c>
      <c r="AF35">
        <v>132.5</v>
      </c>
      <c r="AG35">
        <v>132.6</v>
      </c>
      <c r="AH35">
        <v>132.80000000000001</v>
      </c>
      <c r="AI35">
        <v>133.1</v>
      </c>
      <c r="AJ35">
        <v>132.30000000000001</v>
      </c>
      <c r="AK35">
        <v>128.4</v>
      </c>
      <c r="AL35">
        <v>129</v>
      </c>
      <c r="AM35">
        <v>128.19999999999999</v>
      </c>
      <c r="AN35">
        <v>126.6</v>
      </c>
      <c r="AO35">
        <v>125.7</v>
      </c>
      <c r="AP35">
        <v>124.9</v>
      </c>
      <c r="AQ35">
        <v>126.2</v>
      </c>
      <c r="AR35">
        <v>134.80000000000001</v>
      </c>
      <c r="AS35">
        <v>136</v>
      </c>
      <c r="AT35">
        <v>136.5</v>
      </c>
      <c r="AU35">
        <v>137.80000000000001</v>
      </c>
      <c r="AV35">
        <v>138.1</v>
      </c>
      <c r="AW35">
        <v>136.1</v>
      </c>
      <c r="AX35">
        <v>134.69999999999999</v>
      </c>
      <c r="AY35">
        <v>134.1</v>
      </c>
      <c r="AZ35">
        <v>132.69999999999999</v>
      </c>
      <c r="BA35">
        <v>133</v>
      </c>
      <c r="BB35">
        <v>135.30000000000001</v>
      </c>
      <c r="BC35">
        <v>138.30000000000001</v>
      </c>
      <c r="BD35">
        <v>139.9</v>
      </c>
      <c r="BE35">
        <v>137.9</v>
      </c>
      <c r="BF35">
        <v>139.19999999999999</v>
      </c>
      <c r="BG35">
        <v>141.80000000000001</v>
      </c>
      <c r="BH35">
        <v>145.5</v>
      </c>
      <c r="BI35">
        <v>143</v>
      </c>
      <c r="BJ35">
        <v>141.5</v>
      </c>
      <c r="BK35">
        <v>142.19999999999999</v>
      </c>
      <c r="BL35">
        <v>141.5</v>
      </c>
      <c r="BM35">
        <v>141.30000000000001</v>
      </c>
      <c r="BN35">
        <v>142.9</v>
      </c>
      <c r="BO35">
        <v>146.19999999999999</v>
      </c>
      <c r="BP35">
        <v>153.5</v>
      </c>
      <c r="BQ35">
        <v>154.6</v>
      </c>
      <c r="BR35">
        <v>153.19999999999999</v>
      </c>
      <c r="BS35">
        <v>151.6</v>
      </c>
      <c r="BT35">
        <v>150.6</v>
      </c>
      <c r="BU35">
        <v>145.4</v>
      </c>
      <c r="BV35">
        <v>142.5</v>
      </c>
      <c r="BW35">
        <v>142.80000000000001</v>
      </c>
      <c r="BX35">
        <v>139.4</v>
      </c>
      <c r="BY35">
        <v>135.4</v>
      </c>
      <c r="BZ35">
        <v>136.4</v>
      </c>
      <c r="CA35">
        <v>137.6</v>
      </c>
      <c r="CB35">
        <v>146.5</v>
      </c>
      <c r="CC35">
        <v>146.80000000000001</v>
      </c>
      <c r="CD35">
        <v>150.30000000000001</v>
      </c>
      <c r="CE35">
        <v>149.4</v>
      </c>
      <c r="CF35">
        <v>146.6</v>
      </c>
      <c r="CG35">
        <v>148</v>
      </c>
      <c r="CH35">
        <v>147.4</v>
      </c>
      <c r="CI35">
        <v>145.69999999999999</v>
      </c>
      <c r="CJ35">
        <v>143.19999999999999</v>
      </c>
      <c r="CK35">
        <v>141.80000000000001</v>
      </c>
      <c r="CL35">
        <v>142.5</v>
      </c>
      <c r="CM35">
        <v>149.9</v>
      </c>
      <c r="CN35" t="s">
        <v>32</v>
      </c>
      <c r="CO35">
        <v>147.19999999999999</v>
      </c>
      <c r="CP35">
        <v>147.19999999999999</v>
      </c>
      <c r="CQ35">
        <v>150.4</v>
      </c>
      <c r="CR35">
        <v>150.9</v>
      </c>
      <c r="CS35">
        <v>151.19999999999999</v>
      </c>
      <c r="CT35">
        <v>148.4</v>
      </c>
      <c r="CU35">
        <v>147.69999999999999</v>
      </c>
      <c r="CV35">
        <v>149.6</v>
      </c>
      <c r="CW35">
        <v>150.69999999999999</v>
      </c>
      <c r="CX35">
        <v>153.69999999999999</v>
      </c>
      <c r="CY35">
        <v>164.4</v>
      </c>
      <c r="CZ35">
        <v>167.1</v>
      </c>
      <c r="DA35">
        <v>164.6</v>
      </c>
      <c r="DB35">
        <v>163.9</v>
      </c>
      <c r="DC35">
        <v>156.80000000000001</v>
      </c>
      <c r="DD35">
        <v>156.69999999999999</v>
      </c>
      <c r="DE35">
        <v>155.69999999999999</v>
      </c>
      <c r="DF35">
        <v>156.5</v>
      </c>
      <c r="DG35">
        <v>154.9</v>
      </c>
      <c r="DH35">
        <v>153.69999999999999</v>
      </c>
      <c r="DI35">
        <v>153.69999999999999</v>
      </c>
      <c r="DJ35">
        <v>157.6</v>
      </c>
      <c r="DK35">
        <v>172.6</v>
      </c>
      <c r="DL35">
        <v>171</v>
      </c>
      <c r="DM35">
        <v>169.7</v>
      </c>
      <c r="DN35">
        <v>174.2</v>
      </c>
      <c r="DO35">
        <v>172.9</v>
      </c>
      <c r="DP35">
        <v>165.7</v>
      </c>
      <c r="DQ35">
        <v>163.80000000000001</v>
      </c>
      <c r="DR35">
        <v>160.69999999999999</v>
      </c>
      <c r="DS35">
        <v>158</v>
      </c>
      <c r="DT35">
        <v>158.30000000000001</v>
      </c>
      <c r="DU35">
        <v>169.5</v>
      </c>
      <c r="DV35">
        <v>169.5</v>
      </c>
      <c r="DW35">
        <v>176.3</v>
      </c>
      <c r="DX35">
        <v>172.2</v>
      </c>
    </row>
    <row r="36" spans="1:128" x14ac:dyDescent="0.3">
      <c r="A36" t="s">
        <v>9</v>
      </c>
      <c r="B36" t="s">
        <v>66</v>
      </c>
      <c r="C36" s="4" t="s">
        <v>34</v>
      </c>
      <c r="E36">
        <v>102.2</v>
      </c>
      <c r="F36">
        <v>103.2</v>
      </c>
      <c r="G36">
        <v>102.2</v>
      </c>
      <c r="H36">
        <v>105.5</v>
      </c>
      <c r="I36">
        <v>112.9</v>
      </c>
      <c r="J36">
        <v>126.7</v>
      </c>
      <c r="K36">
        <v>140</v>
      </c>
      <c r="L36">
        <v>151.80000000000001</v>
      </c>
      <c r="M36">
        <v>160.9</v>
      </c>
      <c r="N36">
        <v>171.2</v>
      </c>
      <c r="O36">
        <v>183.1</v>
      </c>
      <c r="P36">
        <v>145.4</v>
      </c>
      <c r="Q36">
        <v>122.2</v>
      </c>
      <c r="R36">
        <v>114.5</v>
      </c>
      <c r="S36">
        <v>116.3</v>
      </c>
      <c r="T36">
        <v>120.7</v>
      </c>
      <c r="U36">
        <v>125</v>
      </c>
      <c r="V36">
        <v>132.1</v>
      </c>
      <c r="W36">
        <v>157.69999999999999</v>
      </c>
      <c r="X36">
        <v>168.2</v>
      </c>
      <c r="Y36">
        <v>162.1</v>
      </c>
      <c r="Z36">
        <v>156.80000000000001</v>
      </c>
      <c r="AA36">
        <v>152.4</v>
      </c>
      <c r="AB36">
        <v>140.5</v>
      </c>
      <c r="AC36">
        <v>133</v>
      </c>
      <c r="AD36">
        <v>129.4</v>
      </c>
      <c r="AE36">
        <v>129.19999999999999</v>
      </c>
      <c r="AF36">
        <v>128.6</v>
      </c>
      <c r="AG36">
        <v>130.9</v>
      </c>
      <c r="AH36">
        <v>139.1</v>
      </c>
      <c r="AI36">
        <v>145.1</v>
      </c>
      <c r="AJ36">
        <v>157.6</v>
      </c>
      <c r="AK36">
        <v>162.19999999999999</v>
      </c>
      <c r="AL36">
        <v>160.4</v>
      </c>
      <c r="AM36">
        <v>158.4</v>
      </c>
      <c r="AN36">
        <v>146.69999999999999</v>
      </c>
      <c r="AO36">
        <v>141.5</v>
      </c>
      <c r="AP36">
        <v>130.30000000000001</v>
      </c>
      <c r="AQ36">
        <v>129.80000000000001</v>
      </c>
      <c r="AR36">
        <v>135</v>
      </c>
      <c r="AS36">
        <v>145.1</v>
      </c>
      <c r="AT36">
        <v>159.69999999999999</v>
      </c>
      <c r="AU36">
        <v>165.4</v>
      </c>
      <c r="AV36">
        <v>159.1</v>
      </c>
      <c r="AW36">
        <v>150.69999999999999</v>
      </c>
      <c r="AX36">
        <v>151.19999999999999</v>
      </c>
      <c r="AY36">
        <v>141.9</v>
      </c>
      <c r="AZ36">
        <v>125.3</v>
      </c>
      <c r="BA36">
        <v>119.4</v>
      </c>
      <c r="BB36">
        <v>119.5</v>
      </c>
      <c r="BC36">
        <v>120.5</v>
      </c>
      <c r="BD36">
        <v>123.4</v>
      </c>
      <c r="BE36">
        <v>125.6</v>
      </c>
      <c r="BF36">
        <v>133.30000000000001</v>
      </c>
      <c r="BG36">
        <v>159.5</v>
      </c>
      <c r="BH36">
        <v>168.6</v>
      </c>
      <c r="BI36">
        <v>156.6</v>
      </c>
      <c r="BJ36">
        <v>162.6</v>
      </c>
      <c r="BK36">
        <v>173.8</v>
      </c>
      <c r="BL36">
        <v>161.69999999999999</v>
      </c>
      <c r="BM36">
        <v>151.6</v>
      </c>
      <c r="BN36">
        <v>140.5</v>
      </c>
      <c r="BO36">
        <v>134.6</v>
      </c>
      <c r="BP36">
        <v>132.6</v>
      </c>
      <c r="BQ36">
        <v>135.6</v>
      </c>
      <c r="BR36">
        <v>143.69999999999999</v>
      </c>
      <c r="BS36">
        <v>155.9</v>
      </c>
      <c r="BT36">
        <v>156.6</v>
      </c>
      <c r="BU36">
        <v>150</v>
      </c>
      <c r="BV36">
        <v>146.69999999999999</v>
      </c>
      <c r="BW36">
        <v>146.69999999999999</v>
      </c>
      <c r="BX36">
        <v>135.19999999999999</v>
      </c>
      <c r="BY36">
        <v>131.30000000000001</v>
      </c>
      <c r="BZ36">
        <v>129.69999999999999</v>
      </c>
      <c r="CA36">
        <v>132.6</v>
      </c>
      <c r="CB36">
        <v>143</v>
      </c>
      <c r="CC36">
        <v>150.5</v>
      </c>
      <c r="CD36">
        <v>160.30000000000001</v>
      </c>
      <c r="CE36">
        <v>167.4</v>
      </c>
      <c r="CF36">
        <v>173.2</v>
      </c>
      <c r="CG36">
        <v>188.4</v>
      </c>
      <c r="CH36">
        <v>199.6</v>
      </c>
      <c r="CI36">
        <v>217</v>
      </c>
      <c r="CJ36">
        <v>197</v>
      </c>
      <c r="CK36">
        <v>170.7</v>
      </c>
      <c r="CL36">
        <v>157.30000000000001</v>
      </c>
      <c r="CM36">
        <v>168.6</v>
      </c>
      <c r="CN36" t="s">
        <v>32</v>
      </c>
      <c r="CO36">
        <v>156.5</v>
      </c>
      <c r="CP36">
        <v>156.5</v>
      </c>
      <c r="CQ36">
        <v>178.1</v>
      </c>
      <c r="CR36">
        <v>186.7</v>
      </c>
      <c r="CS36">
        <v>209.2</v>
      </c>
      <c r="CT36">
        <v>230</v>
      </c>
      <c r="CU36">
        <v>230.5</v>
      </c>
      <c r="CV36">
        <v>194.2</v>
      </c>
      <c r="CW36">
        <v>160</v>
      </c>
      <c r="CX36">
        <v>149.5</v>
      </c>
      <c r="CY36">
        <v>144.1</v>
      </c>
      <c r="CZ36">
        <v>147.9</v>
      </c>
      <c r="DA36">
        <v>155.4</v>
      </c>
      <c r="DB36">
        <v>164.2</v>
      </c>
      <c r="DC36">
        <v>162.19999999999999</v>
      </c>
      <c r="DD36">
        <v>162.30000000000001</v>
      </c>
      <c r="DE36">
        <v>185.3</v>
      </c>
      <c r="DF36">
        <v>199.2</v>
      </c>
      <c r="DG36">
        <v>188.3</v>
      </c>
      <c r="DH36">
        <v>174.3</v>
      </c>
      <c r="DI36">
        <v>169.7</v>
      </c>
      <c r="DJ36">
        <v>166.9</v>
      </c>
      <c r="DK36">
        <v>166.2</v>
      </c>
      <c r="DL36">
        <v>174.9</v>
      </c>
      <c r="DM36">
        <v>182.3</v>
      </c>
      <c r="DN36">
        <v>182.1</v>
      </c>
      <c r="DO36">
        <v>186.7</v>
      </c>
      <c r="DP36">
        <v>191.8</v>
      </c>
      <c r="DQ36">
        <v>199.7</v>
      </c>
      <c r="DR36">
        <v>183.1</v>
      </c>
      <c r="DS36">
        <v>159.9</v>
      </c>
      <c r="DT36">
        <v>153.9</v>
      </c>
      <c r="DU36">
        <v>152.69999999999999</v>
      </c>
      <c r="DV36">
        <v>152.80000000000001</v>
      </c>
      <c r="DW36">
        <v>155.4</v>
      </c>
      <c r="DX36">
        <v>161</v>
      </c>
    </row>
    <row r="37" spans="1:128" x14ac:dyDescent="0.3">
      <c r="A37" t="s">
        <v>10</v>
      </c>
      <c r="B37" t="s">
        <v>66</v>
      </c>
      <c r="C37" s="4" t="s">
        <v>34</v>
      </c>
      <c r="E37">
        <v>106</v>
      </c>
      <c r="F37">
        <v>105.3</v>
      </c>
      <c r="G37">
        <v>105</v>
      </c>
      <c r="H37">
        <v>105.3</v>
      </c>
      <c r="I37">
        <v>105.8</v>
      </c>
      <c r="J37">
        <v>106.3</v>
      </c>
      <c r="K37">
        <v>106.4</v>
      </c>
      <c r="L37">
        <v>106.5</v>
      </c>
      <c r="M37">
        <v>107.1</v>
      </c>
      <c r="N37">
        <v>107.3</v>
      </c>
      <c r="O37">
        <v>108.2</v>
      </c>
      <c r="P37">
        <v>108.7</v>
      </c>
      <c r="Q37">
        <v>108.9</v>
      </c>
      <c r="R37">
        <v>109.3</v>
      </c>
      <c r="S37">
        <v>109.8</v>
      </c>
      <c r="T37">
        <v>111</v>
      </c>
      <c r="U37">
        <v>111.9</v>
      </c>
      <c r="V37">
        <v>112.4</v>
      </c>
      <c r="W37">
        <v>113.2</v>
      </c>
      <c r="X37">
        <v>114.5</v>
      </c>
      <c r="Y37">
        <v>115.6</v>
      </c>
      <c r="Z37">
        <v>116.1</v>
      </c>
      <c r="AA37">
        <v>117.2</v>
      </c>
      <c r="AB37">
        <v>117.6</v>
      </c>
      <c r="AC37">
        <v>119.1</v>
      </c>
      <c r="AD37">
        <v>120.9</v>
      </c>
      <c r="AE37">
        <v>122.4</v>
      </c>
      <c r="AF37">
        <v>124.8</v>
      </c>
      <c r="AG37">
        <v>130.5</v>
      </c>
      <c r="AH37">
        <v>137.4</v>
      </c>
      <c r="AI37">
        <v>139.1</v>
      </c>
      <c r="AJ37">
        <v>144</v>
      </c>
      <c r="AK37">
        <v>150</v>
      </c>
      <c r="AL37">
        <v>165.3</v>
      </c>
      <c r="AM37">
        <v>171.2</v>
      </c>
      <c r="AN37">
        <v>171.5</v>
      </c>
      <c r="AO37">
        <v>170.7</v>
      </c>
      <c r="AP37">
        <v>167.4</v>
      </c>
      <c r="AQ37">
        <v>164.3</v>
      </c>
      <c r="AR37">
        <v>167.5</v>
      </c>
      <c r="AS37">
        <v>171.7</v>
      </c>
      <c r="AT37">
        <v>174.3</v>
      </c>
      <c r="AU37">
        <v>177.4</v>
      </c>
      <c r="AV37">
        <v>175.6</v>
      </c>
      <c r="AW37">
        <v>171.5</v>
      </c>
      <c r="AX37">
        <v>172.1</v>
      </c>
      <c r="AY37">
        <v>171.7</v>
      </c>
      <c r="AZ37">
        <v>168.7</v>
      </c>
      <c r="BA37">
        <v>159.5</v>
      </c>
      <c r="BB37">
        <v>152.19999999999999</v>
      </c>
      <c r="BC37">
        <v>143.9</v>
      </c>
      <c r="BD37">
        <v>140.9</v>
      </c>
      <c r="BE37">
        <v>138.30000000000001</v>
      </c>
      <c r="BF37">
        <v>136.19999999999999</v>
      </c>
      <c r="BG37">
        <v>133.6</v>
      </c>
      <c r="BH37">
        <v>132.69999999999999</v>
      </c>
      <c r="BI37">
        <v>132.9</v>
      </c>
      <c r="BJ37">
        <v>132.30000000000001</v>
      </c>
      <c r="BK37">
        <v>131.19999999999999</v>
      </c>
      <c r="BL37">
        <v>129.1</v>
      </c>
      <c r="BM37">
        <v>127.3</v>
      </c>
      <c r="BN37">
        <v>125.8</v>
      </c>
      <c r="BO37">
        <v>124.6</v>
      </c>
      <c r="BP37">
        <v>123.5</v>
      </c>
      <c r="BQ37">
        <v>122.3</v>
      </c>
      <c r="BR37">
        <v>121.4</v>
      </c>
      <c r="BS37">
        <v>121.7</v>
      </c>
      <c r="BT37">
        <v>122.4</v>
      </c>
      <c r="BU37">
        <v>121.4</v>
      </c>
      <c r="BV37">
        <v>119.1</v>
      </c>
      <c r="BW37">
        <v>119.1</v>
      </c>
      <c r="BX37">
        <v>119.8</v>
      </c>
      <c r="BY37">
        <v>120.3</v>
      </c>
      <c r="BZ37">
        <v>121</v>
      </c>
      <c r="CA37">
        <v>121.8</v>
      </c>
      <c r="CB37">
        <v>124.9</v>
      </c>
      <c r="CC37">
        <v>128.30000000000001</v>
      </c>
      <c r="CD37">
        <v>130</v>
      </c>
      <c r="CE37">
        <v>130.9</v>
      </c>
      <c r="CF37">
        <v>131.6</v>
      </c>
      <c r="CG37">
        <v>132.5</v>
      </c>
      <c r="CH37">
        <v>135.69999999999999</v>
      </c>
      <c r="CI37">
        <v>138.30000000000001</v>
      </c>
      <c r="CJ37">
        <v>140.4</v>
      </c>
      <c r="CK37">
        <v>141.1</v>
      </c>
      <c r="CL37">
        <v>141.1</v>
      </c>
      <c r="CM37">
        <v>150.4</v>
      </c>
      <c r="CN37" t="s">
        <v>32</v>
      </c>
      <c r="CO37">
        <v>150.9</v>
      </c>
      <c r="CP37">
        <v>150.9</v>
      </c>
      <c r="CQ37">
        <v>150.4</v>
      </c>
      <c r="CR37">
        <v>149.80000000000001</v>
      </c>
      <c r="CS37">
        <v>150.9</v>
      </c>
      <c r="CT37">
        <v>156.80000000000001</v>
      </c>
      <c r="CU37">
        <v>160.19999999999999</v>
      </c>
      <c r="CV37">
        <v>160.4</v>
      </c>
      <c r="CW37">
        <v>158.80000000000001</v>
      </c>
      <c r="CX37">
        <v>159.80000000000001</v>
      </c>
      <c r="CY37">
        <v>161.69999999999999</v>
      </c>
      <c r="CZ37">
        <v>165.4</v>
      </c>
      <c r="DA37">
        <v>166</v>
      </c>
      <c r="DB37">
        <v>164</v>
      </c>
      <c r="DC37">
        <v>164.1</v>
      </c>
      <c r="DD37">
        <v>164.1</v>
      </c>
      <c r="DE37">
        <v>165.2</v>
      </c>
      <c r="DF37">
        <v>165.3</v>
      </c>
      <c r="DG37">
        <v>164.4</v>
      </c>
      <c r="DH37">
        <v>163.9</v>
      </c>
      <c r="DI37">
        <v>163.69999999999999</v>
      </c>
      <c r="DJ37">
        <v>163.9</v>
      </c>
      <c r="DK37">
        <v>164.7</v>
      </c>
      <c r="DL37">
        <v>164.7</v>
      </c>
      <c r="DM37">
        <v>164.3</v>
      </c>
      <c r="DN37">
        <v>164.3</v>
      </c>
      <c r="DO37">
        <v>167.2</v>
      </c>
      <c r="DP37">
        <v>169.1</v>
      </c>
      <c r="DQ37">
        <v>169.8</v>
      </c>
      <c r="DR37">
        <v>170.5</v>
      </c>
      <c r="DS37">
        <v>170.8</v>
      </c>
      <c r="DT37">
        <v>170.9</v>
      </c>
      <c r="DU37">
        <v>171</v>
      </c>
      <c r="DV37">
        <v>171.1</v>
      </c>
      <c r="DW37">
        <v>173.4</v>
      </c>
      <c r="DX37">
        <v>175.6</v>
      </c>
    </row>
    <row r="38" spans="1:128" x14ac:dyDescent="0.3">
      <c r="A38" t="s">
        <v>11</v>
      </c>
      <c r="B38" t="s">
        <v>66</v>
      </c>
      <c r="C38" s="4" t="s">
        <v>34</v>
      </c>
      <c r="E38">
        <v>106.2</v>
      </c>
      <c r="F38">
        <v>105.1</v>
      </c>
      <c r="G38">
        <v>104.2</v>
      </c>
      <c r="H38">
        <v>103.5</v>
      </c>
      <c r="I38">
        <v>103.1</v>
      </c>
      <c r="J38">
        <v>103.2</v>
      </c>
      <c r="K38">
        <v>103.3</v>
      </c>
      <c r="L38">
        <v>103.1</v>
      </c>
      <c r="M38">
        <v>103.1</v>
      </c>
      <c r="N38">
        <v>102.7</v>
      </c>
      <c r="O38">
        <v>102.2</v>
      </c>
      <c r="P38">
        <v>101.5</v>
      </c>
      <c r="Q38">
        <v>100.2</v>
      </c>
      <c r="R38">
        <v>99.2</v>
      </c>
      <c r="S38">
        <v>99.6</v>
      </c>
      <c r="T38">
        <v>101.8</v>
      </c>
      <c r="U38">
        <v>102.8</v>
      </c>
      <c r="V38">
        <v>102.9</v>
      </c>
      <c r="W38">
        <v>104.1</v>
      </c>
      <c r="X38">
        <v>104.3</v>
      </c>
      <c r="Y38">
        <v>103.8</v>
      </c>
      <c r="Z38">
        <v>103.1</v>
      </c>
      <c r="AA38">
        <v>102.1</v>
      </c>
      <c r="AB38">
        <v>100.6</v>
      </c>
      <c r="AC38">
        <v>99</v>
      </c>
      <c r="AD38">
        <v>98.3</v>
      </c>
      <c r="AE38">
        <v>97</v>
      </c>
      <c r="AF38">
        <v>95.7</v>
      </c>
      <c r="AG38">
        <v>95.3</v>
      </c>
      <c r="AH38">
        <v>94.1</v>
      </c>
      <c r="AI38">
        <v>91.3</v>
      </c>
      <c r="AJ38">
        <v>90.5</v>
      </c>
      <c r="AK38">
        <v>90.4</v>
      </c>
      <c r="AL38">
        <v>92.3</v>
      </c>
      <c r="AM38">
        <v>93.3</v>
      </c>
      <c r="AN38">
        <v>94.5</v>
      </c>
      <c r="AO38">
        <v>97.4</v>
      </c>
      <c r="AP38">
        <v>98.8</v>
      </c>
      <c r="AQ38">
        <v>100.9</v>
      </c>
      <c r="AR38">
        <v>106.4</v>
      </c>
      <c r="AS38">
        <v>108.7</v>
      </c>
      <c r="AT38">
        <v>109.9</v>
      </c>
      <c r="AU38">
        <v>111.3</v>
      </c>
      <c r="AV38">
        <v>112.9</v>
      </c>
      <c r="AW38">
        <v>113.8</v>
      </c>
      <c r="AX38">
        <v>114.1</v>
      </c>
      <c r="AY38">
        <v>114.1</v>
      </c>
      <c r="AZ38">
        <v>114.4</v>
      </c>
      <c r="BA38">
        <v>115.6</v>
      </c>
      <c r="BB38">
        <v>117.3</v>
      </c>
      <c r="BC38">
        <v>118</v>
      </c>
      <c r="BD38">
        <v>118.5</v>
      </c>
      <c r="BE38">
        <v>119.4</v>
      </c>
      <c r="BF38">
        <v>119.6</v>
      </c>
      <c r="BG38">
        <v>120.5</v>
      </c>
      <c r="BH38">
        <v>121.2</v>
      </c>
      <c r="BI38">
        <v>121.5</v>
      </c>
      <c r="BJ38">
        <v>121.8</v>
      </c>
      <c r="BK38">
        <v>123</v>
      </c>
      <c r="BL38">
        <v>121.5</v>
      </c>
      <c r="BM38">
        <v>118.8</v>
      </c>
      <c r="BN38">
        <v>117.1</v>
      </c>
      <c r="BO38">
        <v>116.1</v>
      </c>
      <c r="BP38">
        <v>113.7</v>
      </c>
      <c r="BQ38">
        <v>109.6</v>
      </c>
      <c r="BR38">
        <v>111.1</v>
      </c>
      <c r="BS38">
        <v>113.5</v>
      </c>
      <c r="BT38">
        <v>114.7</v>
      </c>
      <c r="BU38">
        <v>113.7</v>
      </c>
      <c r="BV38">
        <v>111.9</v>
      </c>
      <c r="BW38">
        <v>111.9</v>
      </c>
      <c r="BX38">
        <v>110.3</v>
      </c>
      <c r="BY38">
        <v>109.1</v>
      </c>
      <c r="BZ38">
        <v>109</v>
      </c>
      <c r="CA38">
        <v>109</v>
      </c>
      <c r="CB38">
        <v>109.9</v>
      </c>
      <c r="CC38">
        <v>111</v>
      </c>
      <c r="CD38">
        <v>111.1</v>
      </c>
      <c r="CE38">
        <v>112</v>
      </c>
      <c r="CF38">
        <v>113.2</v>
      </c>
      <c r="CG38">
        <v>114</v>
      </c>
      <c r="CH38">
        <v>114.2</v>
      </c>
      <c r="CI38">
        <v>114</v>
      </c>
      <c r="CJ38">
        <v>114.1</v>
      </c>
      <c r="CK38">
        <v>113.6</v>
      </c>
      <c r="CL38">
        <v>113.2</v>
      </c>
      <c r="CM38">
        <v>120.3</v>
      </c>
      <c r="CN38" t="s">
        <v>32</v>
      </c>
      <c r="CO38">
        <v>114.2</v>
      </c>
      <c r="CP38">
        <v>114.2</v>
      </c>
      <c r="CQ38">
        <v>115.1</v>
      </c>
      <c r="CR38">
        <v>116.4</v>
      </c>
      <c r="CS38">
        <v>116.2</v>
      </c>
      <c r="CT38">
        <v>115.7</v>
      </c>
      <c r="CU38">
        <v>115.3</v>
      </c>
      <c r="CV38">
        <v>114.6</v>
      </c>
      <c r="CW38">
        <v>112.8</v>
      </c>
      <c r="CX38">
        <v>112.6</v>
      </c>
      <c r="CY38">
        <v>113.1</v>
      </c>
      <c r="CZ38">
        <v>114.8</v>
      </c>
      <c r="DA38">
        <v>115.1</v>
      </c>
      <c r="DB38">
        <v>114.5</v>
      </c>
      <c r="DC38">
        <v>119.7</v>
      </c>
      <c r="DD38">
        <v>119.7</v>
      </c>
      <c r="DE38">
        <v>121.9</v>
      </c>
      <c r="DF38">
        <v>122.4</v>
      </c>
      <c r="DG38">
        <v>121</v>
      </c>
      <c r="DH38">
        <v>120</v>
      </c>
      <c r="DI38">
        <v>118.9</v>
      </c>
      <c r="DJ38">
        <v>118.8</v>
      </c>
      <c r="DK38">
        <v>119</v>
      </c>
      <c r="DL38">
        <v>119.7</v>
      </c>
      <c r="DM38">
        <v>119.9</v>
      </c>
      <c r="DN38">
        <v>120</v>
      </c>
      <c r="DO38">
        <v>120.9</v>
      </c>
      <c r="DP38">
        <v>121.6</v>
      </c>
      <c r="DQ38">
        <v>121.9</v>
      </c>
      <c r="DR38">
        <v>122.1</v>
      </c>
      <c r="DS38">
        <v>121.8</v>
      </c>
      <c r="DT38">
        <v>121.1</v>
      </c>
      <c r="DU38">
        <v>120</v>
      </c>
      <c r="DV38">
        <v>120</v>
      </c>
      <c r="DW38">
        <v>121.3</v>
      </c>
      <c r="DX38">
        <v>122.7</v>
      </c>
    </row>
    <row r="39" spans="1:128" x14ac:dyDescent="0.3">
      <c r="A39" t="s">
        <v>12</v>
      </c>
      <c r="B39" t="s">
        <v>66</v>
      </c>
      <c r="C39" s="4" t="s">
        <v>34</v>
      </c>
      <c r="E39">
        <v>102.7</v>
      </c>
      <c r="F39">
        <v>102.8</v>
      </c>
      <c r="G39">
        <v>103</v>
      </c>
      <c r="H39">
        <v>103.3</v>
      </c>
      <c r="I39">
        <v>104.3</v>
      </c>
      <c r="J39">
        <v>105.7</v>
      </c>
      <c r="K39">
        <v>106.8</v>
      </c>
      <c r="L39">
        <v>107.4</v>
      </c>
      <c r="M39">
        <v>108.3</v>
      </c>
      <c r="N39">
        <v>108.7</v>
      </c>
      <c r="O39">
        <v>109.4</v>
      </c>
      <c r="P39">
        <v>110.5</v>
      </c>
      <c r="Q39">
        <v>111</v>
      </c>
      <c r="R39">
        <v>111.4</v>
      </c>
      <c r="S39">
        <v>111.8</v>
      </c>
      <c r="T39">
        <v>112.6</v>
      </c>
      <c r="U39">
        <v>113.4</v>
      </c>
      <c r="V39">
        <v>114.3</v>
      </c>
      <c r="W39">
        <v>115.5</v>
      </c>
      <c r="X39">
        <v>117.1</v>
      </c>
      <c r="Y39">
        <v>117.6</v>
      </c>
      <c r="Z39">
        <v>118.1</v>
      </c>
      <c r="AA39">
        <v>118.7</v>
      </c>
      <c r="AB39">
        <v>119.1</v>
      </c>
      <c r="AC39">
        <v>120.3</v>
      </c>
      <c r="AD39">
        <v>121.6</v>
      </c>
      <c r="AE39">
        <v>122.1</v>
      </c>
      <c r="AF39">
        <v>122.4</v>
      </c>
      <c r="AG39">
        <v>123.4</v>
      </c>
      <c r="AH39">
        <v>125.5</v>
      </c>
      <c r="AI39">
        <v>126.1</v>
      </c>
      <c r="AJ39">
        <v>126.8</v>
      </c>
      <c r="AK39">
        <v>128.4</v>
      </c>
      <c r="AL39">
        <v>129.69999999999999</v>
      </c>
      <c r="AM39">
        <v>131.19999999999999</v>
      </c>
      <c r="AN39">
        <v>132.1</v>
      </c>
      <c r="AO39">
        <v>132.9</v>
      </c>
      <c r="AP39">
        <v>133.6</v>
      </c>
      <c r="AQ39">
        <v>133.9</v>
      </c>
      <c r="AR39">
        <v>134.4</v>
      </c>
      <c r="AS39">
        <v>135.30000000000001</v>
      </c>
      <c r="AT39">
        <v>136.30000000000001</v>
      </c>
      <c r="AU39">
        <v>137.5</v>
      </c>
      <c r="AV39">
        <v>138.1</v>
      </c>
      <c r="AW39">
        <v>138.80000000000001</v>
      </c>
      <c r="AX39">
        <v>139.30000000000001</v>
      </c>
      <c r="AY39">
        <v>139.69999999999999</v>
      </c>
      <c r="AZ39">
        <v>140.19999999999999</v>
      </c>
      <c r="BA39">
        <v>139.6</v>
      </c>
      <c r="BB39">
        <v>138.69999999999999</v>
      </c>
      <c r="BC39">
        <v>137.9</v>
      </c>
      <c r="BD39">
        <v>136.5</v>
      </c>
      <c r="BE39">
        <v>136</v>
      </c>
      <c r="BF39">
        <v>135.30000000000001</v>
      </c>
      <c r="BG39">
        <v>135.19999999999999</v>
      </c>
      <c r="BH39">
        <v>135.6</v>
      </c>
      <c r="BI39">
        <v>135.6</v>
      </c>
      <c r="BJ39">
        <v>136.30000000000001</v>
      </c>
      <c r="BK39">
        <v>136.80000000000001</v>
      </c>
      <c r="BL39">
        <v>137.1</v>
      </c>
      <c r="BM39">
        <v>137.5</v>
      </c>
      <c r="BN39">
        <v>137.30000000000001</v>
      </c>
      <c r="BO39">
        <v>137.80000000000001</v>
      </c>
      <c r="BP39">
        <v>138.19999999999999</v>
      </c>
      <c r="BQ39">
        <v>138.1</v>
      </c>
      <c r="BR39">
        <v>138.4</v>
      </c>
      <c r="BS39">
        <v>138.9</v>
      </c>
      <c r="BT39">
        <v>139.4</v>
      </c>
      <c r="BU39">
        <v>139.5</v>
      </c>
      <c r="BV39">
        <v>141</v>
      </c>
      <c r="BW39">
        <v>140.9</v>
      </c>
      <c r="BX39">
        <v>140.6</v>
      </c>
      <c r="BY39">
        <v>139.4</v>
      </c>
      <c r="BZ39">
        <v>139.69999999999999</v>
      </c>
      <c r="CA39">
        <v>139.5</v>
      </c>
      <c r="CB39">
        <v>139.9</v>
      </c>
      <c r="CC39">
        <v>140.6</v>
      </c>
      <c r="CD39">
        <v>141.69999999999999</v>
      </c>
      <c r="CE39">
        <v>142.6</v>
      </c>
      <c r="CF39">
        <v>144.1</v>
      </c>
      <c r="CG39">
        <v>145.4</v>
      </c>
      <c r="CH39">
        <v>147</v>
      </c>
      <c r="CI39">
        <v>148.69999999999999</v>
      </c>
      <c r="CJ39">
        <v>150.9</v>
      </c>
      <c r="CK39">
        <v>152</v>
      </c>
      <c r="CL39">
        <v>153.19999999999999</v>
      </c>
      <c r="CM39">
        <v>157.1</v>
      </c>
      <c r="CN39" t="s">
        <v>32</v>
      </c>
      <c r="CO39">
        <v>159.5</v>
      </c>
      <c r="CP39">
        <v>159.5</v>
      </c>
      <c r="CQ39">
        <v>160</v>
      </c>
      <c r="CR39">
        <v>160.30000000000001</v>
      </c>
      <c r="CS39">
        <v>161</v>
      </c>
      <c r="CT39">
        <v>161.80000000000001</v>
      </c>
      <c r="CU39">
        <v>163</v>
      </c>
      <c r="CV39">
        <v>164</v>
      </c>
      <c r="CW39">
        <v>164.2</v>
      </c>
      <c r="CX39">
        <v>163.5</v>
      </c>
      <c r="CY39">
        <v>163.9</v>
      </c>
      <c r="CZ39">
        <v>168.2</v>
      </c>
      <c r="DA39">
        <v>168.5</v>
      </c>
      <c r="DB39">
        <v>168.3</v>
      </c>
      <c r="DC39">
        <v>168.8</v>
      </c>
      <c r="DD39">
        <v>168.8</v>
      </c>
      <c r="DE39">
        <v>169.3</v>
      </c>
      <c r="DF39">
        <v>169.6</v>
      </c>
      <c r="DG39">
        <v>170.5</v>
      </c>
      <c r="DH39">
        <v>172.1</v>
      </c>
      <c r="DI39">
        <v>174.3</v>
      </c>
      <c r="DJ39">
        <v>177.4</v>
      </c>
      <c r="DK39">
        <v>181.3</v>
      </c>
      <c r="DL39">
        <v>184.9</v>
      </c>
      <c r="DM39">
        <v>187.1</v>
      </c>
      <c r="DN39">
        <v>190</v>
      </c>
      <c r="DO39">
        <v>193.6</v>
      </c>
      <c r="DP39">
        <v>197.3</v>
      </c>
      <c r="DQ39">
        <v>199.9</v>
      </c>
      <c r="DR39">
        <v>202.8</v>
      </c>
      <c r="DS39">
        <v>205.2</v>
      </c>
      <c r="DT39">
        <v>208.4</v>
      </c>
      <c r="DU39">
        <v>209.7</v>
      </c>
      <c r="DV39">
        <v>209.7</v>
      </c>
      <c r="DW39">
        <v>212.9</v>
      </c>
      <c r="DX39">
        <v>218</v>
      </c>
    </row>
    <row r="40" spans="1:128" x14ac:dyDescent="0.3">
      <c r="A40" t="s">
        <v>13</v>
      </c>
      <c r="B40" t="s">
        <v>67</v>
      </c>
      <c r="C40" s="4" t="s">
        <v>34</v>
      </c>
      <c r="E40">
        <v>104.9</v>
      </c>
      <c r="F40">
        <v>105.5</v>
      </c>
      <c r="G40">
        <v>106.2</v>
      </c>
      <c r="H40">
        <v>107.2</v>
      </c>
      <c r="I40">
        <v>108.1</v>
      </c>
      <c r="J40">
        <v>109</v>
      </c>
      <c r="K40">
        <v>109.6</v>
      </c>
      <c r="L40">
        <v>110.2</v>
      </c>
      <c r="M40">
        <v>110.7</v>
      </c>
      <c r="N40">
        <v>111.2</v>
      </c>
      <c r="O40">
        <v>111.8</v>
      </c>
      <c r="P40">
        <v>112.1</v>
      </c>
      <c r="Q40">
        <v>112.3</v>
      </c>
      <c r="R40">
        <v>112.6</v>
      </c>
      <c r="S40">
        <v>112.7</v>
      </c>
      <c r="T40">
        <v>113.2</v>
      </c>
      <c r="U40">
        <v>113.7</v>
      </c>
      <c r="V40">
        <v>114.2</v>
      </c>
      <c r="W40">
        <v>114.8</v>
      </c>
      <c r="X40">
        <v>115.2</v>
      </c>
      <c r="Y40">
        <v>115.8</v>
      </c>
      <c r="Z40">
        <v>116.1</v>
      </c>
      <c r="AA40">
        <v>116.4</v>
      </c>
      <c r="AB40">
        <v>116.8</v>
      </c>
      <c r="AC40">
        <v>117.3</v>
      </c>
      <c r="AD40">
        <v>118</v>
      </c>
      <c r="AE40">
        <v>118.1</v>
      </c>
      <c r="AF40">
        <v>118.5</v>
      </c>
      <c r="AG40">
        <v>119.2</v>
      </c>
      <c r="AH40">
        <v>119.8</v>
      </c>
      <c r="AI40">
        <v>119.9</v>
      </c>
      <c r="AJ40">
        <v>120.4</v>
      </c>
      <c r="AK40">
        <v>120.7</v>
      </c>
      <c r="AL40">
        <v>121.1</v>
      </c>
      <c r="AM40">
        <v>121.7</v>
      </c>
      <c r="AN40">
        <v>122</v>
      </c>
      <c r="AO40">
        <v>122.7</v>
      </c>
      <c r="AP40">
        <v>123</v>
      </c>
      <c r="AQ40">
        <v>123.1</v>
      </c>
      <c r="AR40">
        <v>123.6</v>
      </c>
      <c r="AS40">
        <v>124.2</v>
      </c>
      <c r="AT40">
        <v>124.4</v>
      </c>
      <c r="AU40">
        <v>125</v>
      </c>
      <c r="AV40">
        <v>125.5</v>
      </c>
      <c r="AW40">
        <v>126</v>
      </c>
      <c r="AX40">
        <v>126.1</v>
      </c>
      <c r="AY40">
        <v>126.2</v>
      </c>
      <c r="AZ40">
        <v>126.6</v>
      </c>
      <c r="BA40">
        <v>126.6</v>
      </c>
      <c r="BB40">
        <v>126.9</v>
      </c>
      <c r="BC40">
        <v>127.2</v>
      </c>
      <c r="BD40">
        <v>127.4</v>
      </c>
      <c r="BE40">
        <v>127.6</v>
      </c>
      <c r="BF40">
        <v>127.8</v>
      </c>
      <c r="BG40">
        <v>128.5</v>
      </c>
      <c r="BH40">
        <v>128.69999999999999</v>
      </c>
      <c r="BI40">
        <v>128.80000000000001</v>
      </c>
      <c r="BJ40">
        <v>128.69999999999999</v>
      </c>
      <c r="BK40">
        <v>129.19999999999999</v>
      </c>
      <c r="BL40">
        <v>128.80000000000001</v>
      </c>
      <c r="BM40">
        <v>129</v>
      </c>
      <c r="BN40">
        <v>128.6</v>
      </c>
      <c r="BO40">
        <v>129.1</v>
      </c>
      <c r="BP40">
        <v>129.6</v>
      </c>
      <c r="BQ40">
        <v>129.9</v>
      </c>
      <c r="BR40">
        <v>130.30000000000001</v>
      </c>
      <c r="BS40">
        <v>130.30000000000001</v>
      </c>
      <c r="BT40">
        <v>131.1</v>
      </c>
      <c r="BU40">
        <v>130.80000000000001</v>
      </c>
      <c r="BV40">
        <v>133.6</v>
      </c>
      <c r="BW40">
        <v>133.5</v>
      </c>
      <c r="BX40">
        <v>133.80000000000001</v>
      </c>
      <c r="BY40">
        <v>133.30000000000001</v>
      </c>
      <c r="BZ40">
        <v>133.6</v>
      </c>
      <c r="CA40">
        <v>133.69999999999999</v>
      </c>
      <c r="CB40">
        <v>134</v>
      </c>
      <c r="CC40">
        <v>134.19999999999999</v>
      </c>
      <c r="CD40">
        <v>134.69999999999999</v>
      </c>
      <c r="CE40">
        <v>134.9</v>
      </c>
      <c r="CF40">
        <v>135</v>
      </c>
      <c r="CG40">
        <v>135.1</v>
      </c>
      <c r="CH40">
        <v>135.30000000000001</v>
      </c>
      <c r="CI40">
        <v>135.80000000000001</v>
      </c>
      <c r="CJ40">
        <v>136.1</v>
      </c>
      <c r="CK40">
        <v>136.5</v>
      </c>
      <c r="CL40">
        <v>136.69999999999999</v>
      </c>
      <c r="CM40">
        <v>136.80000000000001</v>
      </c>
      <c r="CN40" t="s">
        <v>32</v>
      </c>
      <c r="CO40">
        <v>139.4</v>
      </c>
      <c r="CP40">
        <v>139.4</v>
      </c>
      <c r="CQ40">
        <v>140.6</v>
      </c>
      <c r="CR40">
        <v>142.19999999999999</v>
      </c>
      <c r="CS40">
        <v>144</v>
      </c>
      <c r="CT40">
        <v>146.5</v>
      </c>
      <c r="CU40">
        <v>149.19999999999999</v>
      </c>
      <c r="CV40">
        <v>151.80000000000001</v>
      </c>
      <c r="CW40">
        <v>155.5</v>
      </c>
      <c r="CX40">
        <v>156.5</v>
      </c>
      <c r="CY40">
        <v>157.6</v>
      </c>
      <c r="CZ40">
        <v>159.30000000000001</v>
      </c>
      <c r="DA40">
        <v>160</v>
      </c>
      <c r="DB40">
        <v>160.9</v>
      </c>
      <c r="DC40">
        <v>162.69999999999999</v>
      </c>
      <c r="DD40">
        <v>162.69999999999999</v>
      </c>
      <c r="DE40">
        <v>163.19999999999999</v>
      </c>
      <c r="DF40">
        <v>163.69999999999999</v>
      </c>
      <c r="DG40">
        <v>164.2</v>
      </c>
      <c r="DH40">
        <v>164.3</v>
      </c>
      <c r="DI40">
        <v>164.7</v>
      </c>
      <c r="DJ40">
        <v>165.3</v>
      </c>
      <c r="DK40">
        <v>166.2</v>
      </c>
      <c r="DL40">
        <v>167.1</v>
      </c>
      <c r="DM40">
        <v>167.9</v>
      </c>
      <c r="DN40">
        <v>168.4</v>
      </c>
      <c r="DO40">
        <v>168.8</v>
      </c>
      <c r="DP40">
        <v>169.4</v>
      </c>
      <c r="DQ40">
        <v>169.9</v>
      </c>
      <c r="DR40">
        <v>170.4</v>
      </c>
      <c r="DS40">
        <v>171</v>
      </c>
      <c r="DT40">
        <v>171.4</v>
      </c>
      <c r="DU40">
        <v>172.3</v>
      </c>
      <c r="DV40">
        <v>172.3</v>
      </c>
      <c r="DW40">
        <v>172.9</v>
      </c>
      <c r="DX40">
        <v>173.4</v>
      </c>
    </row>
    <row r="41" spans="1:128" x14ac:dyDescent="0.3">
      <c r="A41" t="s">
        <v>14</v>
      </c>
      <c r="B41" t="s">
        <v>66</v>
      </c>
      <c r="C41" s="4" t="s">
        <v>34</v>
      </c>
      <c r="E41">
        <v>107.3</v>
      </c>
      <c r="F41">
        <v>108.3</v>
      </c>
      <c r="G41">
        <v>108.9</v>
      </c>
      <c r="H41">
        <v>109.6</v>
      </c>
      <c r="I41">
        <v>110.5</v>
      </c>
      <c r="J41">
        <v>111.6</v>
      </c>
      <c r="K41">
        <v>112.6</v>
      </c>
      <c r="L41">
        <v>113.4</v>
      </c>
      <c r="M41">
        <v>114.6</v>
      </c>
      <c r="N41">
        <v>115.4</v>
      </c>
      <c r="O41">
        <v>116.5</v>
      </c>
      <c r="P41">
        <v>117.4</v>
      </c>
      <c r="Q41">
        <v>118.1</v>
      </c>
      <c r="R41">
        <v>118.8</v>
      </c>
      <c r="S41">
        <v>119.3</v>
      </c>
      <c r="T41">
        <v>119.8</v>
      </c>
      <c r="U41">
        <v>120.4</v>
      </c>
      <c r="V41">
        <v>121.2</v>
      </c>
      <c r="W41">
        <v>122.1</v>
      </c>
      <c r="X41">
        <v>123.1</v>
      </c>
      <c r="Y41">
        <v>123.8</v>
      </c>
      <c r="Z41">
        <v>124.5</v>
      </c>
      <c r="AA41">
        <v>125.6</v>
      </c>
      <c r="AB41">
        <v>126.1</v>
      </c>
      <c r="AC41">
        <v>126.7</v>
      </c>
      <c r="AD41">
        <v>127.6</v>
      </c>
      <c r="AE41">
        <v>128.4</v>
      </c>
      <c r="AF41">
        <v>129.1</v>
      </c>
      <c r="AG41">
        <v>129.80000000000001</v>
      </c>
      <c r="AH41">
        <v>130.9</v>
      </c>
      <c r="AI41">
        <v>131.4</v>
      </c>
      <c r="AJ41">
        <v>132.1</v>
      </c>
      <c r="AK41">
        <v>132.5</v>
      </c>
      <c r="AL41">
        <v>133</v>
      </c>
      <c r="AM41">
        <v>134</v>
      </c>
      <c r="AN41">
        <v>134.69999999999999</v>
      </c>
      <c r="AO41">
        <v>135.30000000000001</v>
      </c>
      <c r="AP41">
        <v>135.80000000000001</v>
      </c>
      <c r="AQ41">
        <v>136.30000000000001</v>
      </c>
      <c r="AR41">
        <v>136.69999999999999</v>
      </c>
      <c r="AS41">
        <v>137.4</v>
      </c>
      <c r="AT41">
        <v>138.1</v>
      </c>
      <c r="AU41">
        <v>138.80000000000001</v>
      </c>
      <c r="AV41">
        <v>139.5</v>
      </c>
      <c r="AW41">
        <v>140.19999999999999</v>
      </c>
      <c r="AX41">
        <v>141.1</v>
      </c>
      <c r="AY41">
        <v>141.80000000000001</v>
      </c>
      <c r="AZ41">
        <v>142.30000000000001</v>
      </c>
      <c r="BA41">
        <v>142.80000000000001</v>
      </c>
      <c r="BB41">
        <v>143.19999999999999</v>
      </c>
      <c r="BC41">
        <v>144</v>
      </c>
      <c r="BD41">
        <v>144.19999999999999</v>
      </c>
      <c r="BE41">
        <v>144.5</v>
      </c>
      <c r="BF41">
        <v>144.9</v>
      </c>
      <c r="BG41">
        <v>145.80000000000001</v>
      </c>
      <c r="BH41">
        <v>146.80000000000001</v>
      </c>
      <c r="BI41">
        <v>147.30000000000001</v>
      </c>
      <c r="BJ41">
        <v>148.1</v>
      </c>
      <c r="BK41">
        <v>148.9</v>
      </c>
      <c r="BL41">
        <v>149</v>
      </c>
      <c r="BM41">
        <v>149.5</v>
      </c>
      <c r="BN41">
        <v>149.6</v>
      </c>
      <c r="BO41">
        <v>150.4</v>
      </c>
      <c r="BP41">
        <v>151.19999999999999</v>
      </c>
      <c r="BQ41">
        <v>151.69999999999999</v>
      </c>
      <c r="BR41">
        <v>151.80000000000001</v>
      </c>
      <c r="BS41">
        <v>152.30000000000001</v>
      </c>
      <c r="BT41">
        <v>153</v>
      </c>
      <c r="BU41">
        <v>153.80000000000001</v>
      </c>
      <c r="BV41">
        <v>154.5</v>
      </c>
      <c r="BW41">
        <v>154.5</v>
      </c>
      <c r="BX41">
        <v>154.6</v>
      </c>
      <c r="BY41">
        <v>154.6</v>
      </c>
      <c r="BZ41">
        <v>154.9</v>
      </c>
      <c r="CA41">
        <v>155.19999999999999</v>
      </c>
      <c r="CB41">
        <v>155.5</v>
      </c>
      <c r="CC41">
        <v>155.9</v>
      </c>
      <c r="CD41">
        <v>156.19999999999999</v>
      </c>
      <c r="CE41">
        <v>156.6</v>
      </c>
      <c r="CF41">
        <v>156.80000000000001</v>
      </c>
      <c r="CG41">
        <v>157.1</v>
      </c>
      <c r="CH41">
        <v>157.5</v>
      </c>
      <c r="CI41">
        <v>158</v>
      </c>
      <c r="CJ41">
        <v>158.6</v>
      </c>
      <c r="CK41">
        <v>159.1</v>
      </c>
      <c r="CL41">
        <v>159.6</v>
      </c>
      <c r="CM41" t="s">
        <v>32</v>
      </c>
      <c r="CN41" t="s">
        <v>32</v>
      </c>
      <c r="CO41">
        <v>161.80000000000001</v>
      </c>
      <c r="CP41">
        <v>161.80000000000001</v>
      </c>
      <c r="CQ41">
        <v>162.30000000000001</v>
      </c>
      <c r="CR41">
        <v>162.9</v>
      </c>
      <c r="CS41">
        <v>163.19999999999999</v>
      </c>
      <c r="CT41">
        <v>163.80000000000001</v>
      </c>
      <c r="CU41">
        <v>164.8</v>
      </c>
      <c r="CV41">
        <v>165.6</v>
      </c>
      <c r="CW41">
        <v>167.5</v>
      </c>
      <c r="CX41">
        <v>168.2</v>
      </c>
      <c r="CY41">
        <v>168.9</v>
      </c>
      <c r="CZ41">
        <v>170.4</v>
      </c>
      <c r="DA41">
        <v>172.4</v>
      </c>
      <c r="DB41">
        <v>172.2</v>
      </c>
      <c r="DC41">
        <v>173.9</v>
      </c>
      <c r="DD41">
        <v>173.9</v>
      </c>
      <c r="DE41">
        <v>174.7</v>
      </c>
      <c r="DF41">
        <v>175.5</v>
      </c>
      <c r="DG41">
        <v>176.5</v>
      </c>
      <c r="DH41">
        <v>177.3</v>
      </c>
      <c r="DI41">
        <v>178</v>
      </c>
      <c r="DJ41">
        <v>179.3</v>
      </c>
      <c r="DK41">
        <v>180.9</v>
      </c>
      <c r="DL41">
        <v>182.5</v>
      </c>
      <c r="DM41">
        <v>183.9</v>
      </c>
      <c r="DN41">
        <v>185.2</v>
      </c>
      <c r="DO41">
        <v>186.3</v>
      </c>
      <c r="DP41">
        <v>187.4</v>
      </c>
      <c r="DQ41">
        <v>188.3</v>
      </c>
      <c r="DR41">
        <v>189.5</v>
      </c>
      <c r="DS41">
        <v>190.3</v>
      </c>
      <c r="DT41">
        <v>191.2</v>
      </c>
      <c r="DU41">
        <v>193</v>
      </c>
      <c r="DV41">
        <v>193</v>
      </c>
      <c r="DW41">
        <v>193.5</v>
      </c>
      <c r="DX41">
        <v>194.2</v>
      </c>
    </row>
    <row r="42" spans="1:128" x14ac:dyDescent="0.3">
      <c r="A42" t="s">
        <v>15</v>
      </c>
      <c r="B42" t="s">
        <v>66</v>
      </c>
      <c r="C42" s="4" t="s">
        <v>34</v>
      </c>
      <c r="E42">
        <v>105.6</v>
      </c>
      <c r="F42">
        <v>106.6</v>
      </c>
      <c r="G42">
        <v>106.9</v>
      </c>
      <c r="H42">
        <v>107.7</v>
      </c>
      <c r="I42">
        <v>109.2</v>
      </c>
      <c r="J42">
        <v>112.2</v>
      </c>
      <c r="K42">
        <v>114.7</v>
      </c>
      <c r="L42">
        <v>116.6</v>
      </c>
      <c r="M42">
        <v>118.3</v>
      </c>
      <c r="N42">
        <v>120.2</v>
      </c>
      <c r="O42">
        <v>122.6</v>
      </c>
      <c r="P42">
        <v>118.4</v>
      </c>
      <c r="Q42">
        <v>115.8</v>
      </c>
      <c r="R42">
        <v>115.3</v>
      </c>
      <c r="S42">
        <v>116.1</v>
      </c>
      <c r="T42">
        <v>117.6</v>
      </c>
      <c r="U42">
        <v>118.9</v>
      </c>
      <c r="V42">
        <v>120.4</v>
      </c>
      <c r="W42">
        <v>124.7</v>
      </c>
      <c r="X42">
        <v>126.6</v>
      </c>
      <c r="Y42">
        <v>125.8</v>
      </c>
      <c r="Z42">
        <v>125.4</v>
      </c>
      <c r="AA42">
        <v>125.1</v>
      </c>
      <c r="AB42">
        <v>123.6</v>
      </c>
      <c r="AC42">
        <v>123.1</v>
      </c>
      <c r="AD42">
        <v>123.1</v>
      </c>
      <c r="AE42">
        <v>123.4</v>
      </c>
      <c r="AF42">
        <v>124</v>
      </c>
      <c r="AG42">
        <v>125</v>
      </c>
      <c r="AH42">
        <v>127.3</v>
      </c>
      <c r="AI42">
        <v>128.19999999999999</v>
      </c>
      <c r="AJ42">
        <v>130.30000000000001</v>
      </c>
      <c r="AK42">
        <v>131.19999999999999</v>
      </c>
      <c r="AL42">
        <v>132.1</v>
      </c>
      <c r="AM42">
        <v>132.69999999999999</v>
      </c>
      <c r="AN42">
        <v>131.4</v>
      </c>
      <c r="AO42">
        <v>131.30000000000001</v>
      </c>
      <c r="AP42">
        <v>129.9</v>
      </c>
      <c r="AQ42">
        <v>129.80000000000001</v>
      </c>
      <c r="AR42">
        <v>131.80000000000001</v>
      </c>
      <c r="AS42">
        <v>134</v>
      </c>
      <c r="AT42">
        <v>136.80000000000001</v>
      </c>
      <c r="AU42">
        <v>138.4</v>
      </c>
      <c r="AV42">
        <v>137.9</v>
      </c>
      <c r="AW42">
        <v>136.6</v>
      </c>
      <c r="AX42">
        <v>137</v>
      </c>
      <c r="AY42">
        <v>136.1</v>
      </c>
      <c r="AZ42">
        <v>134</v>
      </c>
      <c r="BA42">
        <v>133.1</v>
      </c>
      <c r="BB42">
        <v>133</v>
      </c>
      <c r="BC42">
        <v>133.1</v>
      </c>
      <c r="BD42">
        <v>133.5</v>
      </c>
      <c r="BE42">
        <v>133.69999999999999</v>
      </c>
      <c r="BF42">
        <v>135.19999999999999</v>
      </c>
      <c r="BG42">
        <v>139</v>
      </c>
      <c r="BH42">
        <v>140.6</v>
      </c>
      <c r="BI42">
        <v>139</v>
      </c>
      <c r="BJ42">
        <v>140.1</v>
      </c>
      <c r="BK42">
        <v>142.1</v>
      </c>
      <c r="BL42">
        <v>140.5</v>
      </c>
      <c r="BM42">
        <v>139.19999999999999</v>
      </c>
      <c r="BN42">
        <v>137.6</v>
      </c>
      <c r="BO42">
        <v>137.19999999999999</v>
      </c>
      <c r="BP42">
        <v>137.5</v>
      </c>
      <c r="BQ42">
        <v>138.1</v>
      </c>
      <c r="BR42">
        <v>139.4</v>
      </c>
      <c r="BS42">
        <v>141.4</v>
      </c>
      <c r="BT42">
        <v>141.69999999999999</v>
      </c>
      <c r="BU42">
        <v>140.4</v>
      </c>
      <c r="BV42">
        <v>139.69999999999999</v>
      </c>
      <c r="BW42">
        <v>139.69999999999999</v>
      </c>
      <c r="BX42">
        <v>138.19999999999999</v>
      </c>
      <c r="BY42">
        <v>137.4</v>
      </c>
      <c r="BZ42">
        <v>137.5</v>
      </c>
      <c r="CA42">
        <v>138.1</v>
      </c>
      <c r="CB42">
        <v>140.9</v>
      </c>
      <c r="CC42">
        <v>142.69999999999999</v>
      </c>
      <c r="CD42">
        <v>144.69999999999999</v>
      </c>
      <c r="CE42">
        <v>145.9</v>
      </c>
      <c r="CF42">
        <v>147</v>
      </c>
      <c r="CG42">
        <v>149.6</v>
      </c>
      <c r="CH42">
        <v>151.9</v>
      </c>
      <c r="CI42">
        <v>155</v>
      </c>
      <c r="CJ42">
        <v>153.5</v>
      </c>
      <c r="CK42">
        <v>150.5</v>
      </c>
      <c r="CL42">
        <v>148.9</v>
      </c>
      <c r="CM42">
        <v>151.4</v>
      </c>
      <c r="CN42" t="s">
        <v>32</v>
      </c>
      <c r="CO42">
        <v>154</v>
      </c>
      <c r="CP42">
        <v>154</v>
      </c>
      <c r="CQ42">
        <v>157</v>
      </c>
      <c r="CR42">
        <v>158</v>
      </c>
      <c r="CS42">
        <v>161.4</v>
      </c>
      <c r="CT42">
        <v>164.7</v>
      </c>
      <c r="CU42">
        <v>165.4</v>
      </c>
      <c r="CV42">
        <v>161</v>
      </c>
      <c r="CW42">
        <v>156.9</v>
      </c>
      <c r="CX42">
        <v>156.69999999999999</v>
      </c>
      <c r="CY42">
        <v>158</v>
      </c>
      <c r="CZ42">
        <v>160.69999999999999</v>
      </c>
      <c r="DA42">
        <v>162.6</v>
      </c>
      <c r="DB42">
        <v>164</v>
      </c>
      <c r="DC42">
        <v>164</v>
      </c>
      <c r="DD42">
        <v>164</v>
      </c>
      <c r="DE42">
        <v>167.7</v>
      </c>
      <c r="DF42">
        <v>169.7</v>
      </c>
      <c r="DG42">
        <v>168.2</v>
      </c>
      <c r="DH42">
        <v>166.4</v>
      </c>
      <c r="DI42">
        <v>166.2</v>
      </c>
      <c r="DJ42">
        <v>168.4</v>
      </c>
      <c r="DK42">
        <v>170.8</v>
      </c>
      <c r="DL42">
        <v>173.3</v>
      </c>
      <c r="DM42">
        <v>174.9</v>
      </c>
      <c r="DN42">
        <v>175</v>
      </c>
      <c r="DO42">
        <v>176.3</v>
      </c>
      <c r="DP42">
        <v>177.8</v>
      </c>
      <c r="DQ42">
        <v>179.6</v>
      </c>
      <c r="DR42">
        <v>178.3</v>
      </c>
      <c r="DS42">
        <v>175.9</v>
      </c>
      <c r="DT42">
        <v>176.7</v>
      </c>
      <c r="DU42">
        <v>177</v>
      </c>
      <c r="DV42">
        <v>177</v>
      </c>
      <c r="DW42">
        <v>177.9</v>
      </c>
      <c r="DX42">
        <v>179.1</v>
      </c>
    </row>
    <row r="43" spans="1:128" x14ac:dyDescent="0.3">
      <c r="A43" t="s">
        <v>16</v>
      </c>
      <c r="B43" t="s">
        <v>67</v>
      </c>
      <c r="C43" s="4" t="s">
        <v>34</v>
      </c>
      <c r="E43">
        <v>105.1</v>
      </c>
      <c r="F43">
        <v>105.7</v>
      </c>
      <c r="G43">
        <v>106.6</v>
      </c>
      <c r="H43">
        <v>107.5</v>
      </c>
      <c r="I43">
        <v>108.6</v>
      </c>
      <c r="J43">
        <v>109.5</v>
      </c>
      <c r="K43">
        <v>110.3</v>
      </c>
      <c r="L43">
        <v>111.2</v>
      </c>
      <c r="M43">
        <v>112</v>
      </c>
      <c r="N43">
        <v>112.5</v>
      </c>
      <c r="O43">
        <v>113.1</v>
      </c>
      <c r="P43">
        <v>114</v>
      </c>
      <c r="Q43">
        <v>114.5</v>
      </c>
      <c r="R43">
        <v>114.7</v>
      </c>
      <c r="S43">
        <v>115.2</v>
      </c>
      <c r="T43">
        <v>116</v>
      </c>
      <c r="U43">
        <v>116.8</v>
      </c>
      <c r="V43">
        <v>117.8</v>
      </c>
      <c r="W43">
        <v>118.8</v>
      </c>
      <c r="X43">
        <v>119.9</v>
      </c>
      <c r="Y43">
        <v>120.8</v>
      </c>
      <c r="Z43">
        <v>121.1</v>
      </c>
      <c r="AA43">
        <v>122.1</v>
      </c>
      <c r="AB43">
        <v>123</v>
      </c>
      <c r="AC43">
        <v>124</v>
      </c>
      <c r="AD43">
        <v>125.2</v>
      </c>
      <c r="AE43">
        <v>125.8</v>
      </c>
      <c r="AF43">
        <v>126.9</v>
      </c>
      <c r="AG43">
        <v>127.9</v>
      </c>
      <c r="AH43">
        <v>129.19999999999999</v>
      </c>
      <c r="AI43">
        <v>130.4</v>
      </c>
      <c r="AJ43">
        <v>131.19999999999999</v>
      </c>
      <c r="AK43">
        <v>132</v>
      </c>
      <c r="AL43">
        <v>132.5</v>
      </c>
      <c r="AM43">
        <v>133.6</v>
      </c>
      <c r="AN43">
        <v>134.5</v>
      </c>
      <c r="AO43">
        <v>135.19999999999999</v>
      </c>
      <c r="AP43">
        <v>135.9</v>
      </c>
      <c r="AQ43">
        <v>136.5</v>
      </c>
      <c r="AR43">
        <v>137.1</v>
      </c>
      <c r="AS43">
        <v>137.69999999999999</v>
      </c>
      <c r="AT43">
        <v>138.69999999999999</v>
      </c>
      <c r="AU43">
        <v>139.30000000000001</v>
      </c>
      <c r="AV43">
        <v>140.19999999999999</v>
      </c>
      <c r="AW43">
        <v>141</v>
      </c>
      <c r="AX43">
        <v>141.80000000000001</v>
      </c>
      <c r="AY43">
        <v>142</v>
      </c>
      <c r="AZ43">
        <v>143.1</v>
      </c>
      <c r="BA43">
        <v>143.80000000000001</v>
      </c>
      <c r="BB43">
        <v>144.4</v>
      </c>
      <c r="BC43">
        <v>145.1</v>
      </c>
      <c r="BD43">
        <v>145.4</v>
      </c>
      <c r="BE43">
        <v>146.19999999999999</v>
      </c>
      <c r="BF43">
        <v>146.5</v>
      </c>
      <c r="BG43">
        <v>148.19999999999999</v>
      </c>
      <c r="BH43">
        <v>149.80000000000001</v>
      </c>
      <c r="BI43">
        <v>150.80000000000001</v>
      </c>
      <c r="BJ43">
        <v>151.6</v>
      </c>
      <c r="BK43">
        <v>153.19999999999999</v>
      </c>
      <c r="BL43">
        <v>154.19999999999999</v>
      </c>
      <c r="BM43">
        <v>154.69999999999999</v>
      </c>
      <c r="BN43">
        <v>154.9</v>
      </c>
      <c r="BO43">
        <v>156.30000000000001</v>
      </c>
      <c r="BP43">
        <v>156.9</v>
      </c>
      <c r="BQ43">
        <v>157.9</v>
      </c>
      <c r="BR43">
        <v>158.30000000000001</v>
      </c>
      <c r="BS43">
        <v>157.5</v>
      </c>
      <c r="BT43">
        <v>157.9</v>
      </c>
      <c r="BU43">
        <v>159.19999999999999</v>
      </c>
      <c r="BV43">
        <v>162.6</v>
      </c>
      <c r="BW43">
        <v>162.6</v>
      </c>
      <c r="BX43">
        <v>163</v>
      </c>
      <c r="BY43">
        <v>163.19999999999999</v>
      </c>
      <c r="BZ43">
        <v>163.4</v>
      </c>
      <c r="CA43">
        <v>163.5</v>
      </c>
      <c r="CB43">
        <v>164.1</v>
      </c>
      <c r="CC43">
        <v>164.9</v>
      </c>
      <c r="CD43">
        <v>165.2</v>
      </c>
      <c r="CE43">
        <v>165.8</v>
      </c>
      <c r="CF43">
        <v>166.5</v>
      </c>
      <c r="CG43">
        <v>167.1</v>
      </c>
      <c r="CH43">
        <v>167.9</v>
      </c>
      <c r="CI43">
        <v>168.5</v>
      </c>
      <c r="CJ43">
        <v>169.2</v>
      </c>
      <c r="CK43">
        <v>170.1</v>
      </c>
      <c r="CL43">
        <v>171.2</v>
      </c>
      <c r="CM43" t="s">
        <v>32</v>
      </c>
      <c r="CN43" t="s">
        <v>32</v>
      </c>
      <c r="CO43">
        <v>183.5</v>
      </c>
      <c r="CP43">
        <v>183.5</v>
      </c>
      <c r="CQ43">
        <v>182.6</v>
      </c>
      <c r="CR43">
        <v>184.4</v>
      </c>
      <c r="CS43">
        <v>184.3</v>
      </c>
      <c r="CT43">
        <v>184.8</v>
      </c>
      <c r="CU43">
        <v>185.4</v>
      </c>
      <c r="CV43">
        <v>186.5</v>
      </c>
      <c r="CW43">
        <v>188.3</v>
      </c>
      <c r="CX43">
        <v>188.1</v>
      </c>
      <c r="CY43">
        <v>188.8</v>
      </c>
      <c r="CZ43">
        <v>191.9</v>
      </c>
      <c r="DA43">
        <v>190.8</v>
      </c>
      <c r="DB43">
        <v>191.2</v>
      </c>
      <c r="DC43">
        <v>192.1</v>
      </c>
      <c r="DD43">
        <v>192.1</v>
      </c>
      <c r="DE43">
        <v>192.7</v>
      </c>
      <c r="DF43">
        <v>192.9</v>
      </c>
      <c r="DG43">
        <v>192.4</v>
      </c>
      <c r="DH43">
        <v>192.2</v>
      </c>
      <c r="DI43">
        <v>192.8</v>
      </c>
      <c r="DJ43">
        <v>193.7</v>
      </c>
      <c r="DK43">
        <v>193.9</v>
      </c>
      <c r="DL43">
        <v>194.1</v>
      </c>
      <c r="DM43">
        <v>194.3</v>
      </c>
      <c r="DN43">
        <v>194.6</v>
      </c>
      <c r="DO43">
        <v>195</v>
      </c>
      <c r="DP43">
        <v>195.9</v>
      </c>
      <c r="DQ43">
        <v>196.3</v>
      </c>
      <c r="DR43">
        <v>196.9</v>
      </c>
      <c r="DS43">
        <v>197.3</v>
      </c>
      <c r="DT43">
        <v>198.2</v>
      </c>
      <c r="DU43">
        <v>199.5</v>
      </c>
      <c r="DV43">
        <v>199.5</v>
      </c>
      <c r="DW43">
        <v>200.6</v>
      </c>
      <c r="DX43">
        <v>201</v>
      </c>
    </row>
    <row r="44" spans="1:128" x14ac:dyDescent="0.3">
      <c r="A44" t="s">
        <v>17</v>
      </c>
      <c r="B44" t="s">
        <v>17</v>
      </c>
      <c r="C44" s="4" t="s">
        <v>34</v>
      </c>
      <c r="E44">
        <v>106.3</v>
      </c>
      <c r="F44">
        <v>106.9</v>
      </c>
      <c r="G44">
        <v>107.4</v>
      </c>
      <c r="H44">
        <v>108</v>
      </c>
      <c r="I44">
        <v>108.7</v>
      </c>
      <c r="J44">
        <v>109.5</v>
      </c>
      <c r="K44">
        <v>110.2</v>
      </c>
      <c r="L44">
        <v>111</v>
      </c>
      <c r="M44">
        <v>112.2</v>
      </c>
      <c r="N44">
        <v>113.2</v>
      </c>
      <c r="O44">
        <v>114.2</v>
      </c>
      <c r="P44">
        <v>115.2</v>
      </c>
      <c r="Q44">
        <v>115.8</v>
      </c>
      <c r="R44">
        <v>116.4</v>
      </c>
      <c r="S44">
        <v>116.8</v>
      </c>
      <c r="T44">
        <v>117.4</v>
      </c>
      <c r="U44">
        <v>118</v>
      </c>
      <c r="V44">
        <v>118.8</v>
      </c>
      <c r="W44">
        <v>119.6</v>
      </c>
      <c r="X44">
        <v>120</v>
      </c>
      <c r="Y44">
        <v>120.7</v>
      </c>
      <c r="Z44">
        <v>121.5</v>
      </c>
      <c r="AA44">
        <v>122.1</v>
      </c>
      <c r="AB44">
        <v>122.6</v>
      </c>
      <c r="AC44">
        <v>123.1</v>
      </c>
      <c r="AD44">
        <v>123.8</v>
      </c>
      <c r="AE44">
        <v>124.3</v>
      </c>
      <c r="AF44">
        <v>124.7</v>
      </c>
      <c r="AG44">
        <v>125.4</v>
      </c>
      <c r="AH44">
        <v>126.4</v>
      </c>
      <c r="AI44">
        <v>126.7</v>
      </c>
      <c r="AJ44">
        <v>127.2</v>
      </c>
      <c r="AK44">
        <v>127.9</v>
      </c>
      <c r="AL44">
        <v>128.5</v>
      </c>
      <c r="AM44">
        <v>129.30000000000001</v>
      </c>
      <c r="AN44">
        <v>129.69999999999999</v>
      </c>
      <c r="AO44">
        <v>130.30000000000001</v>
      </c>
      <c r="AP44">
        <v>130.9</v>
      </c>
      <c r="AQ44">
        <v>131.30000000000001</v>
      </c>
      <c r="AR44">
        <v>131.80000000000001</v>
      </c>
      <c r="AS44">
        <v>132.19999999999999</v>
      </c>
      <c r="AT44">
        <v>132.9</v>
      </c>
      <c r="AU44">
        <v>133.5</v>
      </c>
      <c r="AV44">
        <v>134.1</v>
      </c>
      <c r="AW44">
        <v>134.6</v>
      </c>
      <c r="AX44">
        <v>135.5</v>
      </c>
      <c r="AY44">
        <v>135.80000000000001</v>
      </c>
      <c r="AZ44">
        <v>136.30000000000001</v>
      </c>
      <c r="BA44">
        <v>136.6</v>
      </c>
      <c r="BB44">
        <v>136.80000000000001</v>
      </c>
      <c r="BC44">
        <v>137.30000000000001</v>
      </c>
      <c r="BD44">
        <v>138</v>
      </c>
      <c r="BE44">
        <v>138.19999999999999</v>
      </c>
      <c r="BF44">
        <v>138.5</v>
      </c>
      <c r="BG44">
        <v>139.30000000000001</v>
      </c>
      <c r="BH44">
        <v>140.30000000000001</v>
      </c>
      <c r="BI44">
        <v>141.1</v>
      </c>
      <c r="BJ44">
        <v>142</v>
      </c>
      <c r="BK44">
        <v>143</v>
      </c>
      <c r="BL44">
        <v>143.1</v>
      </c>
      <c r="BM44">
        <v>143.5</v>
      </c>
      <c r="BN44">
        <v>143.80000000000001</v>
      </c>
      <c r="BO44">
        <v>144.30000000000001</v>
      </c>
      <c r="BP44">
        <v>145.30000000000001</v>
      </c>
      <c r="BQ44">
        <v>146</v>
      </c>
      <c r="BR44">
        <v>146.4</v>
      </c>
      <c r="BS44">
        <v>146.80000000000001</v>
      </c>
      <c r="BT44">
        <v>147.30000000000001</v>
      </c>
      <c r="BU44">
        <v>147.69999999999999</v>
      </c>
      <c r="BV44">
        <v>148</v>
      </c>
      <c r="BW44">
        <v>148</v>
      </c>
      <c r="BX44">
        <v>148.1</v>
      </c>
      <c r="BY44">
        <v>147.6</v>
      </c>
      <c r="BZ44">
        <v>147.69999999999999</v>
      </c>
      <c r="CA44">
        <v>147.9</v>
      </c>
      <c r="CB44">
        <v>148.4</v>
      </c>
      <c r="CC44">
        <v>148.6</v>
      </c>
      <c r="CD44">
        <v>148.9</v>
      </c>
      <c r="CE44">
        <v>149.1</v>
      </c>
      <c r="CF44">
        <v>149.19999999999999</v>
      </c>
      <c r="CG44">
        <v>149.4</v>
      </c>
      <c r="CH44">
        <v>149.9</v>
      </c>
      <c r="CI44">
        <v>150.30000000000001</v>
      </c>
      <c r="CJ44">
        <v>150.5</v>
      </c>
      <c r="CK44">
        <v>150.80000000000001</v>
      </c>
      <c r="CL44">
        <v>151.19999999999999</v>
      </c>
      <c r="CM44" t="s">
        <v>32</v>
      </c>
      <c r="CN44" t="s">
        <v>32</v>
      </c>
      <c r="CO44">
        <v>152.5</v>
      </c>
      <c r="CP44">
        <v>152.5</v>
      </c>
      <c r="CQ44">
        <v>153.1</v>
      </c>
      <c r="CR44">
        <v>153.4</v>
      </c>
      <c r="CS44">
        <v>153.69999999999999</v>
      </c>
      <c r="CT44">
        <v>154.30000000000001</v>
      </c>
      <c r="CU44">
        <v>155</v>
      </c>
      <c r="CV44">
        <v>155.5</v>
      </c>
      <c r="CW44">
        <v>157.19999999999999</v>
      </c>
      <c r="CX44">
        <v>157.80000000000001</v>
      </c>
      <c r="CY44">
        <v>158.80000000000001</v>
      </c>
      <c r="CZ44">
        <v>161.80000000000001</v>
      </c>
      <c r="DA44">
        <v>162.19999999999999</v>
      </c>
      <c r="DB44">
        <v>162.80000000000001</v>
      </c>
      <c r="DC44">
        <v>164.5</v>
      </c>
      <c r="DD44">
        <v>164.6</v>
      </c>
      <c r="DE44">
        <v>165.7</v>
      </c>
      <c r="DF44">
        <v>167.2</v>
      </c>
      <c r="DG44">
        <v>168.5</v>
      </c>
      <c r="DH44">
        <v>169.9</v>
      </c>
      <c r="DI44">
        <v>170.8</v>
      </c>
      <c r="DJ44">
        <v>172.1</v>
      </c>
      <c r="DK44">
        <v>173.9</v>
      </c>
      <c r="DL44">
        <v>175.6</v>
      </c>
      <c r="DM44">
        <v>177.1</v>
      </c>
      <c r="DN44">
        <v>178.3</v>
      </c>
      <c r="DO44">
        <v>179.5</v>
      </c>
      <c r="DP44">
        <v>180.9</v>
      </c>
      <c r="DQ44">
        <v>181.9</v>
      </c>
      <c r="DR44">
        <v>183.1</v>
      </c>
      <c r="DS44">
        <v>184</v>
      </c>
      <c r="DT44">
        <v>184.9</v>
      </c>
      <c r="DU44">
        <v>186.2</v>
      </c>
      <c r="DV44">
        <v>186.1</v>
      </c>
      <c r="DW44">
        <v>186.9</v>
      </c>
      <c r="DX44">
        <v>187.3</v>
      </c>
    </row>
    <row r="45" spans="1:128" x14ac:dyDescent="0.3">
      <c r="A45" t="s">
        <v>18</v>
      </c>
      <c r="B45" t="s">
        <v>17</v>
      </c>
      <c r="C45" s="4" t="s">
        <v>34</v>
      </c>
      <c r="E45">
        <v>105.5</v>
      </c>
      <c r="F45">
        <v>106</v>
      </c>
      <c r="G45">
        <v>106.5</v>
      </c>
      <c r="H45">
        <v>107</v>
      </c>
      <c r="I45">
        <v>107.4</v>
      </c>
      <c r="J45">
        <v>108.1</v>
      </c>
      <c r="K45">
        <v>108.8</v>
      </c>
      <c r="L45">
        <v>109.4</v>
      </c>
      <c r="M45">
        <v>110.4</v>
      </c>
      <c r="N45">
        <v>111.2</v>
      </c>
      <c r="O45">
        <v>111.9</v>
      </c>
      <c r="P45">
        <v>112.7</v>
      </c>
      <c r="Q45">
        <v>113.2</v>
      </c>
      <c r="R45">
        <v>113.3</v>
      </c>
      <c r="S45">
        <v>113.7</v>
      </c>
      <c r="T45">
        <v>114.6</v>
      </c>
      <c r="U45">
        <v>115.2</v>
      </c>
      <c r="V45">
        <v>115.6</v>
      </c>
      <c r="W45">
        <v>116.3</v>
      </c>
      <c r="X45">
        <v>116.8</v>
      </c>
      <c r="Y45">
        <v>117.2</v>
      </c>
      <c r="Z45">
        <v>118.1</v>
      </c>
      <c r="AA45">
        <v>118.4</v>
      </c>
      <c r="AB45">
        <v>118.6</v>
      </c>
      <c r="AC45">
        <v>119.3</v>
      </c>
      <c r="AD45">
        <v>120.1</v>
      </c>
      <c r="AE45">
        <v>120.4</v>
      </c>
      <c r="AF45">
        <v>120.8</v>
      </c>
      <c r="AG45">
        <v>121.3</v>
      </c>
      <c r="AH45">
        <v>122</v>
      </c>
      <c r="AI45">
        <v>122.3</v>
      </c>
      <c r="AJ45">
        <v>122.9</v>
      </c>
      <c r="AK45">
        <v>123.4</v>
      </c>
      <c r="AL45">
        <v>123.8</v>
      </c>
      <c r="AM45">
        <v>124.5</v>
      </c>
      <c r="AN45">
        <v>124.8</v>
      </c>
      <c r="AO45">
        <v>125.1</v>
      </c>
      <c r="AP45">
        <v>125.8</v>
      </c>
      <c r="AQ45">
        <v>126.1</v>
      </c>
      <c r="AR45">
        <v>126.4</v>
      </c>
      <c r="AS45">
        <v>126.8</v>
      </c>
      <c r="AT45">
        <v>127.2</v>
      </c>
      <c r="AU45">
        <v>127.6</v>
      </c>
      <c r="AV45">
        <v>128.19999999999999</v>
      </c>
      <c r="AW45">
        <v>128.6</v>
      </c>
      <c r="AX45">
        <v>129.1</v>
      </c>
      <c r="AY45">
        <v>129.30000000000001</v>
      </c>
      <c r="AZ45">
        <v>129.80000000000001</v>
      </c>
      <c r="BA45">
        <v>130.19999999999999</v>
      </c>
      <c r="BB45">
        <v>130.30000000000001</v>
      </c>
      <c r="BC45">
        <v>130.6</v>
      </c>
      <c r="BD45">
        <v>131.1</v>
      </c>
      <c r="BE45">
        <v>131.4</v>
      </c>
      <c r="BF45">
        <v>131.69999999999999</v>
      </c>
      <c r="BG45">
        <v>132.1</v>
      </c>
      <c r="BH45">
        <v>133</v>
      </c>
      <c r="BI45">
        <v>133.4</v>
      </c>
      <c r="BJ45">
        <v>134.1</v>
      </c>
      <c r="BK45">
        <v>134.80000000000001</v>
      </c>
      <c r="BL45">
        <v>135.1</v>
      </c>
      <c r="BM45">
        <v>135.5</v>
      </c>
      <c r="BN45">
        <v>135.6</v>
      </c>
      <c r="BO45">
        <v>136.19999999999999</v>
      </c>
      <c r="BP45">
        <v>136.69999999999999</v>
      </c>
      <c r="BQ45">
        <v>137.4</v>
      </c>
      <c r="BR45">
        <v>138.1</v>
      </c>
      <c r="BS45">
        <v>138.4</v>
      </c>
      <c r="BT45">
        <v>138.80000000000001</v>
      </c>
      <c r="BU45">
        <v>139.1</v>
      </c>
      <c r="BV45">
        <v>139.19999999999999</v>
      </c>
      <c r="BW45">
        <v>139.1</v>
      </c>
      <c r="BX45">
        <v>139.4</v>
      </c>
      <c r="BY45">
        <v>139</v>
      </c>
      <c r="BZ45">
        <v>139.69999999999999</v>
      </c>
      <c r="CA45">
        <v>139.9</v>
      </c>
      <c r="CB45">
        <v>140.4</v>
      </c>
      <c r="CC45">
        <v>140.4</v>
      </c>
      <c r="CD45">
        <v>140.5</v>
      </c>
      <c r="CE45">
        <v>140.6</v>
      </c>
      <c r="CF45">
        <v>140.6</v>
      </c>
      <c r="CG45">
        <v>140.80000000000001</v>
      </c>
      <c r="CH45">
        <v>141</v>
      </c>
      <c r="CI45">
        <v>141.30000000000001</v>
      </c>
      <c r="CJ45">
        <v>141.5</v>
      </c>
      <c r="CK45">
        <v>141.69999999999999</v>
      </c>
      <c r="CL45">
        <v>141.9</v>
      </c>
      <c r="CM45" t="s">
        <v>32</v>
      </c>
      <c r="CN45" t="s">
        <v>32</v>
      </c>
      <c r="CO45">
        <v>144.4</v>
      </c>
      <c r="CP45">
        <v>144.4</v>
      </c>
      <c r="CQ45">
        <v>143.4</v>
      </c>
      <c r="CR45">
        <v>144.30000000000001</v>
      </c>
      <c r="CS45">
        <v>144.6</v>
      </c>
      <c r="CT45">
        <v>144.9</v>
      </c>
      <c r="CU45">
        <v>145.4</v>
      </c>
      <c r="CV45">
        <v>146.1</v>
      </c>
      <c r="CW45">
        <v>147.4</v>
      </c>
      <c r="CX45">
        <v>147.9</v>
      </c>
      <c r="CY45">
        <v>148.5</v>
      </c>
      <c r="CZ45">
        <v>152.1</v>
      </c>
      <c r="DA45">
        <v>151.80000000000001</v>
      </c>
      <c r="DB45">
        <v>153.1</v>
      </c>
      <c r="DC45">
        <v>155.30000000000001</v>
      </c>
      <c r="DD45">
        <v>155.30000000000001</v>
      </c>
      <c r="DE45">
        <v>156.30000000000001</v>
      </c>
      <c r="DF45">
        <v>157.4</v>
      </c>
      <c r="DG45">
        <v>158.69999999999999</v>
      </c>
      <c r="DH45">
        <v>160.69999999999999</v>
      </c>
      <c r="DI45">
        <v>162.4</v>
      </c>
      <c r="DJ45">
        <v>164.6</v>
      </c>
      <c r="DK45">
        <v>166.5</v>
      </c>
      <c r="DL45">
        <v>168.4</v>
      </c>
      <c r="DM45">
        <v>169.9</v>
      </c>
      <c r="DN45">
        <v>171.3</v>
      </c>
      <c r="DO45">
        <v>172.7</v>
      </c>
      <c r="DP45">
        <v>174.3</v>
      </c>
      <c r="DQ45">
        <v>175.3</v>
      </c>
      <c r="DR45">
        <v>176.2</v>
      </c>
      <c r="DS45">
        <v>177</v>
      </c>
      <c r="DT45">
        <v>177.6</v>
      </c>
      <c r="DU45">
        <v>178.7</v>
      </c>
      <c r="DV45">
        <v>178.7</v>
      </c>
      <c r="DW45">
        <v>179.2</v>
      </c>
      <c r="DX45">
        <v>179.7</v>
      </c>
    </row>
    <row r="46" spans="1:128" x14ac:dyDescent="0.3">
      <c r="A46" t="s">
        <v>19</v>
      </c>
      <c r="B46" t="s">
        <v>17</v>
      </c>
      <c r="C46" s="4" t="s">
        <v>34</v>
      </c>
      <c r="E46">
        <v>106.2</v>
      </c>
      <c r="F46">
        <v>106.8</v>
      </c>
      <c r="G46">
        <v>107.3</v>
      </c>
      <c r="H46">
        <v>107.9</v>
      </c>
      <c r="I46">
        <v>108.5</v>
      </c>
      <c r="J46">
        <v>109.3</v>
      </c>
      <c r="K46">
        <v>110</v>
      </c>
      <c r="L46">
        <v>110.7</v>
      </c>
      <c r="M46">
        <v>111.9</v>
      </c>
      <c r="N46">
        <v>112.8</v>
      </c>
      <c r="O46">
        <v>113.8</v>
      </c>
      <c r="P46">
        <v>114.8</v>
      </c>
      <c r="Q46">
        <v>115.4</v>
      </c>
      <c r="R46">
        <v>115.9</v>
      </c>
      <c r="S46">
        <v>116.4</v>
      </c>
      <c r="T46">
        <v>117</v>
      </c>
      <c r="U46">
        <v>117.6</v>
      </c>
      <c r="V46">
        <v>118.3</v>
      </c>
      <c r="W46">
        <v>119.1</v>
      </c>
      <c r="X46">
        <v>119.6</v>
      </c>
      <c r="Y46">
        <v>120.1</v>
      </c>
      <c r="Z46">
        <v>121</v>
      </c>
      <c r="AA46">
        <v>121.6</v>
      </c>
      <c r="AB46">
        <v>122</v>
      </c>
      <c r="AC46">
        <v>122.5</v>
      </c>
      <c r="AD46">
        <v>123.3</v>
      </c>
      <c r="AE46">
        <v>123.7</v>
      </c>
      <c r="AF46">
        <v>124.1</v>
      </c>
      <c r="AG46">
        <v>124.7</v>
      </c>
      <c r="AH46">
        <v>125.7</v>
      </c>
      <c r="AI46">
        <v>126.1</v>
      </c>
      <c r="AJ46">
        <v>126.6</v>
      </c>
      <c r="AK46">
        <v>127.2</v>
      </c>
      <c r="AL46">
        <v>127.8</v>
      </c>
      <c r="AM46">
        <v>128.6</v>
      </c>
      <c r="AN46">
        <v>129</v>
      </c>
      <c r="AO46">
        <v>129.5</v>
      </c>
      <c r="AP46">
        <v>130.19999999999999</v>
      </c>
      <c r="AQ46">
        <v>130.5</v>
      </c>
      <c r="AR46">
        <v>131</v>
      </c>
      <c r="AS46">
        <v>131.4</v>
      </c>
      <c r="AT46">
        <v>132</v>
      </c>
      <c r="AU46">
        <v>132.69999999999999</v>
      </c>
      <c r="AV46">
        <v>133.19999999999999</v>
      </c>
      <c r="AW46">
        <v>133.80000000000001</v>
      </c>
      <c r="AX46">
        <v>134.5</v>
      </c>
      <c r="AY46">
        <v>135</v>
      </c>
      <c r="AZ46">
        <v>135.4</v>
      </c>
      <c r="BA46">
        <v>135.6</v>
      </c>
      <c r="BB46">
        <v>135.9</v>
      </c>
      <c r="BC46">
        <v>136.4</v>
      </c>
      <c r="BD46">
        <v>137</v>
      </c>
      <c r="BE46">
        <v>137.19999999999999</v>
      </c>
      <c r="BF46">
        <v>137.5</v>
      </c>
      <c r="BG46">
        <v>138.30000000000001</v>
      </c>
      <c r="BH46">
        <v>139.30000000000001</v>
      </c>
      <c r="BI46">
        <v>140</v>
      </c>
      <c r="BJ46">
        <v>140.80000000000001</v>
      </c>
      <c r="BK46">
        <v>141.80000000000001</v>
      </c>
      <c r="BL46">
        <v>142</v>
      </c>
      <c r="BM46">
        <v>142.30000000000001</v>
      </c>
      <c r="BN46">
        <v>142.6</v>
      </c>
      <c r="BO46">
        <v>143.1</v>
      </c>
      <c r="BP46">
        <v>144</v>
      </c>
      <c r="BQ46">
        <v>144.69999999999999</v>
      </c>
      <c r="BR46">
        <v>145.19999999999999</v>
      </c>
      <c r="BS46">
        <v>145.6</v>
      </c>
      <c r="BT46">
        <v>146.1</v>
      </c>
      <c r="BU46">
        <v>146.5</v>
      </c>
      <c r="BV46">
        <v>146.80000000000001</v>
      </c>
      <c r="BW46">
        <v>146.69999999999999</v>
      </c>
      <c r="BX46">
        <v>146.80000000000001</v>
      </c>
      <c r="BY46">
        <v>146.4</v>
      </c>
      <c r="BZ46">
        <v>146.5</v>
      </c>
      <c r="CA46">
        <v>146.69999999999999</v>
      </c>
      <c r="CB46">
        <v>147.30000000000001</v>
      </c>
      <c r="CC46">
        <v>147.4</v>
      </c>
      <c r="CD46">
        <v>147.6</v>
      </c>
      <c r="CE46">
        <v>147.9</v>
      </c>
      <c r="CF46">
        <v>147.9</v>
      </c>
      <c r="CG46">
        <v>148.19999999999999</v>
      </c>
      <c r="CH46">
        <v>148.6</v>
      </c>
      <c r="CI46">
        <v>149</v>
      </c>
      <c r="CJ46">
        <v>149.19999999999999</v>
      </c>
      <c r="CK46">
        <v>149.5</v>
      </c>
      <c r="CL46">
        <v>149.80000000000001</v>
      </c>
      <c r="CM46" t="s">
        <v>32</v>
      </c>
      <c r="CN46" t="s">
        <v>32</v>
      </c>
      <c r="CO46">
        <v>151.4</v>
      </c>
      <c r="CP46">
        <v>151.4</v>
      </c>
      <c r="CQ46">
        <v>151.69999999999999</v>
      </c>
      <c r="CR46">
        <v>152</v>
      </c>
      <c r="CS46">
        <v>152.30000000000001</v>
      </c>
      <c r="CT46">
        <v>152.80000000000001</v>
      </c>
      <c r="CU46">
        <v>153.6</v>
      </c>
      <c r="CV46">
        <v>154.19999999999999</v>
      </c>
      <c r="CW46">
        <v>155.80000000000001</v>
      </c>
      <c r="CX46">
        <v>156.4</v>
      </c>
      <c r="CY46">
        <v>157.30000000000001</v>
      </c>
      <c r="CZ46">
        <v>160.4</v>
      </c>
      <c r="DA46">
        <v>160.69999999999999</v>
      </c>
      <c r="DB46">
        <v>161.4</v>
      </c>
      <c r="DC46">
        <v>163.19999999999999</v>
      </c>
      <c r="DD46">
        <v>163.30000000000001</v>
      </c>
      <c r="DE46">
        <v>164.3</v>
      </c>
      <c r="DF46">
        <v>165.8</v>
      </c>
      <c r="DG46">
        <v>167</v>
      </c>
      <c r="DH46">
        <v>168.5</v>
      </c>
      <c r="DI46">
        <v>169.6</v>
      </c>
      <c r="DJ46">
        <v>171.1</v>
      </c>
      <c r="DK46">
        <v>172.8</v>
      </c>
      <c r="DL46">
        <v>174.6</v>
      </c>
      <c r="DM46">
        <v>176</v>
      </c>
      <c r="DN46">
        <v>177.3</v>
      </c>
      <c r="DO46">
        <v>178.5</v>
      </c>
      <c r="DP46">
        <v>179.9</v>
      </c>
      <c r="DQ46">
        <v>181</v>
      </c>
      <c r="DR46">
        <v>182.1</v>
      </c>
      <c r="DS46">
        <v>183</v>
      </c>
      <c r="DT46">
        <v>183.8</v>
      </c>
      <c r="DU46">
        <v>185.1</v>
      </c>
      <c r="DV46">
        <v>185.1</v>
      </c>
      <c r="DW46">
        <v>185.7</v>
      </c>
      <c r="DX46">
        <v>186.2</v>
      </c>
    </row>
    <row r="47" spans="1:128" x14ac:dyDescent="0.3">
      <c r="A47" t="s">
        <v>20</v>
      </c>
      <c r="B47" t="s">
        <v>20</v>
      </c>
      <c r="C47" s="4" t="s">
        <v>34</v>
      </c>
      <c r="E47">
        <v>100.3</v>
      </c>
      <c r="F47">
        <v>100.4</v>
      </c>
      <c r="G47">
        <v>100.4</v>
      </c>
      <c r="H47">
        <v>100.5</v>
      </c>
      <c r="I47">
        <v>100.5</v>
      </c>
      <c r="J47">
        <v>106.6</v>
      </c>
      <c r="K47">
        <v>107.7</v>
      </c>
      <c r="L47">
        <v>108.9</v>
      </c>
      <c r="M47">
        <v>109.7</v>
      </c>
      <c r="N47">
        <v>110.5</v>
      </c>
      <c r="O47">
        <v>111.1</v>
      </c>
      <c r="P47">
        <v>110.7</v>
      </c>
      <c r="Q47">
        <v>111.6</v>
      </c>
      <c r="R47">
        <v>112.5</v>
      </c>
      <c r="S47">
        <v>113.2</v>
      </c>
      <c r="T47">
        <v>113.9</v>
      </c>
      <c r="U47">
        <v>114.3</v>
      </c>
      <c r="V47">
        <v>113.9</v>
      </c>
      <c r="W47">
        <v>114.8</v>
      </c>
      <c r="X47">
        <v>115.5</v>
      </c>
      <c r="Y47">
        <v>116.1</v>
      </c>
      <c r="Z47">
        <v>116.7</v>
      </c>
      <c r="AA47">
        <v>117.1</v>
      </c>
      <c r="AB47">
        <v>116.5</v>
      </c>
      <c r="AC47">
        <v>117.3</v>
      </c>
      <c r="AD47">
        <v>118.1</v>
      </c>
      <c r="AE47">
        <v>118.6</v>
      </c>
      <c r="AF47">
        <v>119.2</v>
      </c>
      <c r="AG47">
        <v>119.6</v>
      </c>
      <c r="AH47">
        <v>119</v>
      </c>
      <c r="AI47">
        <v>119.9</v>
      </c>
      <c r="AJ47">
        <v>120.9</v>
      </c>
      <c r="AK47">
        <v>121.6</v>
      </c>
      <c r="AL47">
        <v>122.4</v>
      </c>
      <c r="AM47">
        <v>122.9</v>
      </c>
      <c r="AN47">
        <v>122.4</v>
      </c>
      <c r="AO47">
        <v>123.4</v>
      </c>
      <c r="AP47">
        <v>124.4</v>
      </c>
      <c r="AQ47">
        <v>124.9</v>
      </c>
      <c r="AR47">
        <v>125.6</v>
      </c>
      <c r="AS47">
        <v>126</v>
      </c>
      <c r="AT47">
        <v>125.5</v>
      </c>
      <c r="AU47">
        <v>126.4</v>
      </c>
      <c r="AV47">
        <v>127.3</v>
      </c>
      <c r="AW47">
        <v>127.9</v>
      </c>
      <c r="AX47">
        <v>128.69999999999999</v>
      </c>
      <c r="AY47">
        <v>129.1</v>
      </c>
      <c r="AZ47">
        <v>128.5</v>
      </c>
      <c r="BA47">
        <v>129.6</v>
      </c>
      <c r="BB47">
        <v>130.5</v>
      </c>
      <c r="BC47">
        <v>131.1</v>
      </c>
      <c r="BD47">
        <v>131.69999999999999</v>
      </c>
      <c r="BE47">
        <v>132.1</v>
      </c>
      <c r="BF47">
        <v>131.4</v>
      </c>
      <c r="BG47">
        <v>132.6</v>
      </c>
      <c r="BH47">
        <v>134.4</v>
      </c>
      <c r="BI47">
        <v>135.69999999999999</v>
      </c>
      <c r="BJ47">
        <v>137.30000000000001</v>
      </c>
      <c r="BK47">
        <v>138.6</v>
      </c>
      <c r="BL47">
        <v>139.1</v>
      </c>
      <c r="BM47">
        <v>140.4</v>
      </c>
      <c r="BN47">
        <v>141.30000000000001</v>
      </c>
      <c r="BO47">
        <v>142</v>
      </c>
      <c r="BP47">
        <v>142.9</v>
      </c>
      <c r="BQ47">
        <v>143.19999999999999</v>
      </c>
      <c r="BR47">
        <v>142.5</v>
      </c>
      <c r="BS47">
        <v>143.6</v>
      </c>
      <c r="BT47">
        <v>144.6</v>
      </c>
      <c r="BU47">
        <v>145.30000000000001</v>
      </c>
      <c r="BV47">
        <v>146.9</v>
      </c>
      <c r="BW47">
        <v>146.9</v>
      </c>
      <c r="BX47">
        <v>146.5</v>
      </c>
      <c r="BY47">
        <v>147.69999999999999</v>
      </c>
      <c r="BZ47">
        <v>148.5</v>
      </c>
      <c r="CA47">
        <v>149</v>
      </c>
      <c r="CB47">
        <v>150.1</v>
      </c>
      <c r="CC47">
        <v>149.4</v>
      </c>
      <c r="CD47">
        <v>150.6</v>
      </c>
      <c r="CE47">
        <v>151.6</v>
      </c>
      <c r="CF47">
        <v>152.19999999999999</v>
      </c>
      <c r="CG47">
        <v>153</v>
      </c>
      <c r="CH47">
        <v>153.5</v>
      </c>
      <c r="CI47">
        <v>152.80000000000001</v>
      </c>
      <c r="CJ47">
        <v>153.9</v>
      </c>
      <c r="CK47">
        <v>154.80000000000001</v>
      </c>
      <c r="CL47">
        <v>154.5</v>
      </c>
      <c r="CM47">
        <v>155.6</v>
      </c>
      <c r="CN47" t="s">
        <v>32</v>
      </c>
      <c r="CO47">
        <v>154.69999999999999</v>
      </c>
      <c r="CP47">
        <v>154.69999999999999</v>
      </c>
      <c r="CQ47">
        <v>155.5</v>
      </c>
      <c r="CR47">
        <v>156.30000000000001</v>
      </c>
      <c r="CS47">
        <v>156.5</v>
      </c>
      <c r="CT47">
        <v>158</v>
      </c>
      <c r="CU47">
        <v>158.4</v>
      </c>
      <c r="CV47">
        <v>157.69999999999999</v>
      </c>
      <c r="CW47">
        <v>159.80000000000001</v>
      </c>
      <c r="CX47">
        <v>159.9</v>
      </c>
      <c r="CY47">
        <v>161.4</v>
      </c>
      <c r="CZ47">
        <v>161.6</v>
      </c>
      <c r="DA47">
        <v>160.5</v>
      </c>
      <c r="DB47">
        <v>161.5</v>
      </c>
      <c r="DC47">
        <v>162.1</v>
      </c>
      <c r="DD47">
        <v>162.1</v>
      </c>
      <c r="DE47">
        <v>163.6</v>
      </c>
      <c r="DF47">
        <v>164.2</v>
      </c>
      <c r="DG47">
        <v>163.4</v>
      </c>
      <c r="DH47">
        <v>164.5</v>
      </c>
      <c r="DI47">
        <v>165.5</v>
      </c>
      <c r="DJ47">
        <v>165.3</v>
      </c>
      <c r="DK47">
        <v>167</v>
      </c>
      <c r="DL47">
        <v>167.5</v>
      </c>
      <c r="DM47">
        <v>166.8</v>
      </c>
      <c r="DN47">
        <v>167.8</v>
      </c>
      <c r="DO47">
        <v>169</v>
      </c>
      <c r="DP47">
        <v>169.5</v>
      </c>
      <c r="DQ47">
        <v>171.2</v>
      </c>
      <c r="DR47">
        <v>171.8</v>
      </c>
      <c r="DS47">
        <v>170.7</v>
      </c>
      <c r="DT47">
        <v>172.1</v>
      </c>
      <c r="DU47">
        <v>173.5</v>
      </c>
      <c r="DV47">
        <v>173.5</v>
      </c>
      <c r="DW47">
        <v>175.2</v>
      </c>
      <c r="DX47">
        <v>175.6</v>
      </c>
    </row>
    <row r="48" spans="1:128" x14ac:dyDescent="0.3">
      <c r="A48" t="s">
        <v>21</v>
      </c>
      <c r="B48" t="s">
        <v>68</v>
      </c>
      <c r="C48" s="4" t="s">
        <v>34</v>
      </c>
      <c r="E48">
        <v>105.5</v>
      </c>
      <c r="F48">
        <v>106</v>
      </c>
      <c r="G48">
        <v>106.1</v>
      </c>
      <c r="H48">
        <v>106.5</v>
      </c>
      <c r="I48">
        <v>107.4</v>
      </c>
      <c r="J48">
        <v>108.3</v>
      </c>
      <c r="K48">
        <v>109.2</v>
      </c>
      <c r="L48">
        <v>109.7</v>
      </c>
      <c r="M48">
        <v>110.5</v>
      </c>
      <c r="N48">
        <v>110.9</v>
      </c>
      <c r="O48">
        <v>111.6</v>
      </c>
      <c r="P48">
        <v>111.9</v>
      </c>
      <c r="Q48">
        <v>112.2</v>
      </c>
      <c r="R48">
        <v>112.4</v>
      </c>
      <c r="S48">
        <v>112.5</v>
      </c>
      <c r="T48">
        <v>112.5</v>
      </c>
      <c r="U48">
        <v>112.5</v>
      </c>
      <c r="V48">
        <v>113.2</v>
      </c>
      <c r="W48">
        <v>113.9</v>
      </c>
      <c r="X48">
        <v>114</v>
      </c>
      <c r="Y48">
        <v>114.3</v>
      </c>
      <c r="Z48">
        <v>114.7</v>
      </c>
      <c r="AA48">
        <v>115.5</v>
      </c>
      <c r="AB48">
        <v>115.7</v>
      </c>
      <c r="AC48">
        <v>116.5</v>
      </c>
      <c r="AD48">
        <v>117.7</v>
      </c>
      <c r="AE48">
        <v>118.3</v>
      </c>
      <c r="AF48">
        <v>118.7</v>
      </c>
      <c r="AG48">
        <v>119.2</v>
      </c>
      <c r="AH48">
        <v>119.8</v>
      </c>
      <c r="AI48">
        <v>120.1</v>
      </c>
      <c r="AJ48">
        <v>120.6</v>
      </c>
      <c r="AK48">
        <v>120.4</v>
      </c>
      <c r="AL48">
        <v>120.8</v>
      </c>
      <c r="AM48">
        <v>121.6</v>
      </c>
      <c r="AN48">
        <v>122</v>
      </c>
      <c r="AO48">
        <v>122.7</v>
      </c>
      <c r="AP48">
        <v>123.1</v>
      </c>
      <c r="AQ48">
        <v>122.4</v>
      </c>
      <c r="AR48">
        <v>122.3</v>
      </c>
      <c r="AS48">
        <v>122.7</v>
      </c>
      <c r="AT48">
        <v>123.3</v>
      </c>
      <c r="AU48">
        <v>123.4</v>
      </c>
      <c r="AV48">
        <v>123.6</v>
      </c>
      <c r="AW48">
        <v>124.1</v>
      </c>
      <c r="AX48">
        <v>124.3</v>
      </c>
      <c r="AY48">
        <v>125</v>
      </c>
      <c r="AZ48">
        <v>126.6</v>
      </c>
      <c r="BA48">
        <v>126.8</v>
      </c>
      <c r="BB48">
        <v>127.9</v>
      </c>
      <c r="BC48">
        <v>129.1</v>
      </c>
      <c r="BD48">
        <v>129.80000000000001</v>
      </c>
      <c r="BE48">
        <v>129.4</v>
      </c>
      <c r="BF48">
        <v>128.80000000000001</v>
      </c>
      <c r="BG48">
        <v>129.4</v>
      </c>
      <c r="BH48">
        <v>129.80000000000001</v>
      </c>
      <c r="BI48">
        <v>131</v>
      </c>
      <c r="BJ48">
        <v>132.19999999999999</v>
      </c>
      <c r="BK48">
        <v>135.30000000000001</v>
      </c>
      <c r="BL48">
        <v>136.6</v>
      </c>
      <c r="BM48">
        <v>136.6</v>
      </c>
      <c r="BN48">
        <v>136.69999999999999</v>
      </c>
      <c r="BO48">
        <v>136.5</v>
      </c>
      <c r="BP48">
        <v>136.5</v>
      </c>
      <c r="BQ48">
        <v>136.9</v>
      </c>
      <c r="BR48">
        <v>138.1</v>
      </c>
      <c r="BS48">
        <v>139.69999999999999</v>
      </c>
      <c r="BT48">
        <v>140.9</v>
      </c>
      <c r="BU48">
        <v>142.30000000000001</v>
      </c>
      <c r="BV48">
        <v>145.30000000000001</v>
      </c>
      <c r="BW48">
        <v>145.1</v>
      </c>
      <c r="BX48">
        <v>142.69999999999999</v>
      </c>
      <c r="BY48">
        <v>139.5</v>
      </c>
      <c r="BZ48">
        <v>138.4</v>
      </c>
      <c r="CA48">
        <v>139.69999999999999</v>
      </c>
      <c r="CB48">
        <v>140.30000000000001</v>
      </c>
      <c r="CC48">
        <v>141.19999999999999</v>
      </c>
      <c r="CD48">
        <v>139.30000000000001</v>
      </c>
      <c r="CE48">
        <v>138.5</v>
      </c>
      <c r="CF48">
        <v>139.19999999999999</v>
      </c>
      <c r="CG48">
        <v>140.6</v>
      </c>
      <c r="CH48">
        <v>142.30000000000001</v>
      </c>
      <c r="CI48">
        <v>143.69999999999999</v>
      </c>
      <c r="CJ48">
        <v>144.6</v>
      </c>
      <c r="CK48">
        <v>147.19999999999999</v>
      </c>
      <c r="CL48">
        <v>148.9</v>
      </c>
      <c r="CM48">
        <v>144.1</v>
      </c>
      <c r="CN48" t="s">
        <v>32</v>
      </c>
      <c r="CO48">
        <v>141.9</v>
      </c>
      <c r="CP48">
        <v>141.9</v>
      </c>
      <c r="CQ48">
        <v>143</v>
      </c>
      <c r="CR48">
        <v>142.9</v>
      </c>
      <c r="CS48">
        <v>143.1</v>
      </c>
      <c r="CT48">
        <v>143.6</v>
      </c>
      <c r="CU48">
        <v>144.6</v>
      </c>
      <c r="CV48">
        <v>147.9</v>
      </c>
      <c r="CW48">
        <v>152.4</v>
      </c>
      <c r="CX48">
        <v>155.5</v>
      </c>
      <c r="CY48">
        <v>155.6</v>
      </c>
      <c r="CZ48">
        <v>159.4</v>
      </c>
      <c r="DA48">
        <v>159.80000000000001</v>
      </c>
      <c r="DB48">
        <v>160.69999999999999</v>
      </c>
      <c r="DC48">
        <v>162.6</v>
      </c>
      <c r="DD48">
        <v>162.6</v>
      </c>
      <c r="DE48">
        <v>164.2</v>
      </c>
      <c r="DF48">
        <v>163.9</v>
      </c>
      <c r="DG48">
        <v>164.1</v>
      </c>
      <c r="DH48">
        <v>164.2</v>
      </c>
      <c r="DI48">
        <v>165.7</v>
      </c>
      <c r="DJ48">
        <v>167.2</v>
      </c>
      <c r="DK48">
        <v>172.2</v>
      </c>
      <c r="DL48">
        <v>174.6</v>
      </c>
      <c r="DM48">
        <v>176</v>
      </c>
      <c r="DN48">
        <v>179.6</v>
      </c>
      <c r="DO48">
        <v>178.8</v>
      </c>
      <c r="DP48">
        <v>179.5</v>
      </c>
      <c r="DQ48">
        <v>180.5</v>
      </c>
      <c r="DR48">
        <v>181.3</v>
      </c>
      <c r="DS48">
        <v>182</v>
      </c>
      <c r="DT48">
        <v>182</v>
      </c>
      <c r="DU48">
        <v>182.1</v>
      </c>
      <c r="DV48">
        <v>181.9</v>
      </c>
      <c r="DW48">
        <v>181.7</v>
      </c>
      <c r="DX48">
        <v>182.8</v>
      </c>
    </row>
    <row r="49" spans="1:128" x14ac:dyDescent="0.3">
      <c r="A49" t="s">
        <v>22</v>
      </c>
      <c r="B49" t="s">
        <v>20</v>
      </c>
      <c r="C49" s="4" t="s">
        <v>34</v>
      </c>
      <c r="E49">
        <v>104.8</v>
      </c>
      <c r="F49">
        <v>105.2</v>
      </c>
      <c r="G49">
        <v>105.6</v>
      </c>
      <c r="H49">
        <v>106.3</v>
      </c>
      <c r="I49">
        <v>106.9</v>
      </c>
      <c r="J49">
        <v>107.6</v>
      </c>
      <c r="K49">
        <v>108.2</v>
      </c>
      <c r="L49">
        <v>108.7</v>
      </c>
      <c r="M49">
        <v>109.6</v>
      </c>
      <c r="N49">
        <v>110.3</v>
      </c>
      <c r="O49">
        <v>111.1</v>
      </c>
      <c r="P49">
        <v>111.7</v>
      </c>
      <c r="Q49">
        <v>112.3</v>
      </c>
      <c r="R49">
        <v>112.8</v>
      </c>
      <c r="S49">
        <v>113.2</v>
      </c>
      <c r="T49">
        <v>113.6</v>
      </c>
      <c r="U49">
        <v>114.1</v>
      </c>
      <c r="V49">
        <v>114.6</v>
      </c>
      <c r="W49">
        <v>115.2</v>
      </c>
      <c r="X49">
        <v>115.6</v>
      </c>
      <c r="Y49">
        <v>116.1</v>
      </c>
      <c r="Z49">
        <v>116.7</v>
      </c>
      <c r="AA49">
        <v>117.3</v>
      </c>
      <c r="AB49">
        <v>117.5</v>
      </c>
      <c r="AC49">
        <v>118.1</v>
      </c>
      <c r="AD49">
        <v>118.7</v>
      </c>
      <c r="AE49">
        <v>119.2</v>
      </c>
      <c r="AF49">
        <v>119.7</v>
      </c>
      <c r="AG49">
        <v>120.2</v>
      </c>
      <c r="AH49">
        <v>121.1</v>
      </c>
      <c r="AI49">
        <v>121.3</v>
      </c>
      <c r="AJ49">
        <v>122</v>
      </c>
      <c r="AK49">
        <v>122.6</v>
      </c>
      <c r="AL49">
        <v>123</v>
      </c>
      <c r="AM49">
        <v>123.4</v>
      </c>
      <c r="AN49">
        <v>123.6</v>
      </c>
      <c r="AO49">
        <v>124.2</v>
      </c>
      <c r="AP49">
        <v>124.6</v>
      </c>
      <c r="AQ49">
        <v>125.1</v>
      </c>
      <c r="AR49">
        <v>125.5</v>
      </c>
      <c r="AS49">
        <v>126</v>
      </c>
      <c r="AT49">
        <v>126.4</v>
      </c>
      <c r="AU49">
        <v>126.9</v>
      </c>
      <c r="AV49">
        <v>127.4</v>
      </c>
      <c r="AW49">
        <v>127.9</v>
      </c>
      <c r="AX49">
        <v>128.4</v>
      </c>
      <c r="AY49">
        <v>128.6</v>
      </c>
      <c r="AZ49">
        <v>129.19999999999999</v>
      </c>
      <c r="BA49">
        <v>129.4</v>
      </c>
      <c r="BB49">
        <v>129.69999999999999</v>
      </c>
      <c r="BC49">
        <v>130.1</v>
      </c>
      <c r="BD49">
        <v>130.4</v>
      </c>
      <c r="BE49">
        <v>130.9</v>
      </c>
      <c r="BF49">
        <v>131.19999999999999</v>
      </c>
      <c r="BG49">
        <v>131.9</v>
      </c>
      <c r="BH49">
        <v>132.80000000000001</v>
      </c>
      <c r="BI49">
        <v>133.30000000000001</v>
      </c>
      <c r="BJ49">
        <v>133.6</v>
      </c>
      <c r="BK49">
        <v>134.4</v>
      </c>
      <c r="BL49">
        <v>134.69999999999999</v>
      </c>
      <c r="BM49">
        <v>134.9</v>
      </c>
      <c r="BN49">
        <v>135.19999999999999</v>
      </c>
      <c r="BO49">
        <v>135.6</v>
      </c>
      <c r="BP49">
        <v>136.6</v>
      </c>
      <c r="BQ49">
        <v>137.4</v>
      </c>
      <c r="BR49">
        <v>137.9</v>
      </c>
      <c r="BS49">
        <v>138.6</v>
      </c>
      <c r="BT49">
        <v>139.4</v>
      </c>
      <c r="BU49">
        <v>139.69999999999999</v>
      </c>
      <c r="BV49">
        <v>142.19999999999999</v>
      </c>
      <c r="BW49">
        <v>142.19999999999999</v>
      </c>
      <c r="BX49">
        <v>143.19999999999999</v>
      </c>
      <c r="BY49">
        <v>143.6</v>
      </c>
      <c r="BZ49">
        <v>143.69999999999999</v>
      </c>
      <c r="CA49">
        <v>143.80000000000001</v>
      </c>
      <c r="CB49">
        <v>143.69999999999999</v>
      </c>
      <c r="CC49">
        <v>143.80000000000001</v>
      </c>
      <c r="CD49">
        <v>144.19999999999999</v>
      </c>
      <c r="CE49">
        <v>144.5</v>
      </c>
      <c r="CF49">
        <v>144.6</v>
      </c>
      <c r="CG49">
        <v>145</v>
      </c>
      <c r="CH49">
        <v>145.30000000000001</v>
      </c>
      <c r="CI49">
        <v>145.80000000000001</v>
      </c>
      <c r="CJ49">
        <v>146.19999999999999</v>
      </c>
      <c r="CK49">
        <v>146.4</v>
      </c>
      <c r="CL49">
        <v>146.4</v>
      </c>
      <c r="CM49" t="s">
        <v>32</v>
      </c>
      <c r="CN49" t="s">
        <v>32</v>
      </c>
      <c r="CO49">
        <v>146.4</v>
      </c>
      <c r="CP49">
        <v>146.4</v>
      </c>
      <c r="CQ49">
        <v>148.4</v>
      </c>
      <c r="CR49">
        <v>148.69999999999999</v>
      </c>
      <c r="CS49">
        <v>148.69999999999999</v>
      </c>
      <c r="CT49">
        <v>149.19999999999999</v>
      </c>
      <c r="CU49">
        <v>149.69999999999999</v>
      </c>
      <c r="CV49">
        <v>150</v>
      </c>
      <c r="CW49">
        <v>150.9</v>
      </c>
      <c r="CX49">
        <v>151.19999999999999</v>
      </c>
      <c r="CY49">
        <v>151.80000000000001</v>
      </c>
      <c r="CZ49">
        <v>154.69999999999999</v>
      </c>
      <c r="DA49">
        <v>154.80000000000001</v>
      </c>
      <c r="DB49">
        <v>155.80000000000001</v>
      </c>
      <c r="DC49">
        <v>157.5</v>
      </c>
      <c r="DD49">
        <v>157.5</v>
      </c>
      <c r="DE49">
        <v>158.4</v>
      </c>
      <c r="DF49">
        <v>159.30000000000001</v>
      </c>
      <c r="DG49">
        <v>160.19999999999999</v>
      </c>
      <c r="DH49">
        <v>161.1</v>
      </c>
      <c r="DI49">
        <v>161.80000000000001</v>
      </c>
      <c r="DJ49">
        <v>162.80000000000001</v>
      </c>
      <c r="DK49">
        <v>164</v>
      </c>
      <c r="DL49">
        <v>165.2</v>
      </c>
      <c r="DM49">
        <v>166.4</v>
      </c>
      <c r="DN49">
        <v>167.4</v>
      </c>
      <c r="DO49">
        <v>168.5</v>
      </c>
      <c r="DP49">
        <v>169.5</v>
      </c>
      <c r="DQ49">
        <v>170.4</v>
      </c>
      <c r="DR49">
        <v>171.4</v>
      </c>
      <c r="DS49">
        <v>172.1</v>
      </c>
      <c r="DT49">
        <v>172.9</v>
      </c>
      <c r="DU49">
        <v>174.2</v>
      </c>
      <c r="DV49">
        <v>174.2</v>
      </c>
      <c r="DW49">
        <v>174.6</v>
      </c>
      <c r="DX49">
        <v>175.2</v>
      </c>
    </row>
    <row r="50" spans="1:128" x14ac:dyDescent="0.3">
      <c r="A50" t="s">
        <v>23</v>
      </c>
      <c r="B50" t="s">
        <v>23</v>
      </c>
      <c r="C50" s="4" t="s">
        <v>34</v>
      </c>
      <c r="E50">
        <v>104</v>
      </c>
      <c r="F50">
        <v>104.5</v>
      </c>
      <c r="G50">
        <v>104.9</v>
      </c>
      <c r="H50">
        <v>105.3</v>
      </c>
      <c r="I50">
        <v>105.9</v>
      </c>
      <c r="J50">
        <v>106.4</v>
      </c>
      <c r="K50">
        <v>107</v>
      </c>
      <c r="L50">
        <v>107.5</v>
      </c>
      <c r="M50">
        <v>108.1</v>
      </c>
      <c r="N50">
        <v>108.6</v>
      </c>
      <c r="O50">
        <v>109.3</v>
      </c>
      <c r="P50">
        <v>109.7</v>
      </c>
      <c r="Q50">
        <v>110.3</v>
      </c>
      <c r="R50">
        <v>110.7</v>
      </c>
      <c r="S50">
        <v>111.2</v>
      </c>
      <c r="T50">
        <v>111.5</v>
      </c>
      <c r="U50">
        <v>111.8</v>
      </c>
      <c r="V50">
        <v>112.3</v>
      </c>
      <c r="W50">
        <v>112.7</v>
      </c>
      <c r="X50">
        <v>113.3</v>
      </c>
      <c r="Y50">
        <v>113.7</v>
      </c>
      <c r="Z50">
        <v>114.3</v>
      </c>
      <c r="AA50">
        <v>114.8</v>
      </c>
      <c r="AB50">
        <v>115.1</v>
      </c>
      <c r="AC50">
        <v>115.5</v>
      </c>
      <c r="AD50">
        <v>116.3</v>
      </c>
      <c r="AE50">
        <v>116.7</v>
      </c>
      <c r="AF50">
        <v>117.1</v>
      </c>
      <c r="AG50">
        <v>117.7</v>
      </c>
      <c r="AH50">
        <v>118.5</v>
      </c>
      <c r="AI50">
        <v>119</v>
      </c>
      <c r="AJ50">
        <v>119.4</v>
      </c>
      <c r="AK50">
        <v>119.8</v>
      </c>
      <c r="AL50">
        <v>120.4</v>
      </c>
      <c r="AM50">
        <v>120.9</v>
      </c>
      <c r="AN50">
        <v>121.4</v>
      </c>
      <c r="AO50">
        <v>122</v>
      </c>
      <c r="AP50">
        <v>122.5</v>
      </c>
      <c r="AQ50">
        <v>122.9</v>
      </c>
      <c r="AR50">
        <v>123.2</v>
      </c>
      <c r="AS50">
        <v>123.7</v>
      </c>
      <c r="AT50">
        <v>124.1</v>
      </c>
      <c r="AU50">
        <v>124.5</v>
      </c>
      <c r="AV50">
        <v>124.8</v>
      </c>
      <c r="AW50">
        <v>125.4</v>
      </c>
      <c r="AX50">
        <v>126.1</v>
      </c>
      <c r="AY50">
        <v>126.4</v>
      </c>
      <c r="AZ50">
        <v>126.9</v>
      </c>
      <c r="BA50">
        <v>127.1</v>
      </c>
      <c r="BB50">
        <v>127.4</v>
      </c>
      <c r="BC50">
        <v>127.8</v>
      </c>
      <c r="BD50">
        <v>128.1</v>
      </c>
      <c r="BE50">
        <v>128.4</v>
      </c>
      <c r="BF50">
        <v>128.5</v>
      </c>
      <c r="BG50">
        <v>129.4</v>
      </c>
      <c r="BH50">
        <v>130.19999999999999</v>
      </c>
      <c r="BI50">
        <v>130.6</v>
      </c>
      <c r="BJ50">
        <v>131.30000000000001</v>
      </c>
      <c r="BK50">
        <v>132.6</v>
      </c>
      <c r="BL50">
        <v>133.1</v>
      </c>
      <c r="BM50">
        <v>133.30000000000001</v>
      </c>
      <c r="BN50">
        <v>133.80000000000001</v>
      </c>
      <c r="BO50">
        <v>134.30000000000001</v>
      </c>
      <c r="BP50">
        <v>135.19999999999999</v>
      </c>
      <c r="BQ50">
        <v>136</v>
      </c>
      <c r="BR50">
        <v>136.19999999999999</v>
      </c>
      <c r="BS50">
        <v>137</v>
      </c>
      <c r="BT50">
        <v>137.69999999999999</v>
      </c>
      <c r="BU50">
        <v>138.4</v>
      </c>
      <c r="BV50">
        <v>142.1</v>
      </c>
      <c r="BW50">
        <v>142.1</v>
      </c>
      <c r="BX50">
        <v>144.9</v>
      </c>
      <c r="BY50">
        <v>145.1</v>
      </c>
      <c r="BZ50">
        <v>145.6</v>
      </c>
      <c r="CA50">
        <v>146.19999999999999</v>
      </c>
      <c r="CB50">
        <v>146.9</v>
      </c>
      <c r="CC50">
        <v>147.4</v>
      </c>
      <c r="CD50">
        <v>147.9</v>
      </c>
      <c r="CE50">
        <v>148.5</v>
      </c>
      <c r="CF50">
        <v>149</v>
      </c>
      <c r="CG50">
        <v>149.4</v>
      </c>
      <c r="CH50">
        <v>149.9</v>
      </c>
      <c r="CI50">
        <v>150.4</v>
      </c>
      <c r="CJ50">
        <v>151.19999999999999</v>
      </c>
      <c r="CK50">
        <v>151.69999999999999</v>
      </c>
      <c r="CL50">
        <v>152.30000000000001</v>
      </c>
      <c r="CM50">
        <v>150.69999999999999</v>
      </c>
      <c r="CN50" t="s">
        <v>32</v>
      </c>
      <c r="CO50">
        <v>154.4</v>
      </c>
      <c r="CP50">
        <v>154.4</v>
      </c>
      <c r="CQ50">
        <v>155</v>
      </c>
      <c r="CR50">
        <v>155.6</v>
      </c>
      <c r="CS50">
        <v>156.30000000000001</v>
      </c>
      <c r="CT50">
        <v>157.19999999999999</v>
      </c>
      <c r="CU50">
        <v>158.30000000000001</v>
      </c>
      <c r="CV50">
        <v>159.30000000000001</v>
      </c>
      <c r="CW50">
        <v>161.30000000000001</v>
      </c>
      <c r="CX50">
        <v>161.69999999999999</v>
      </c>
      <c r="CY50">
        <v>162.30000000000001</v>
      </c>
      <c r="CZ50">
        <v>165.8</v>
      </c>
      <c r="DA50">
        <v>166.3</v>
      </c>
      <c r="DB50">
        <v>167</v>
      </c>
      <c r="DC50">
        <v>168.4</v>
      </c>
      <c r="DD50">
        <v>168.4</v>
      </c>
      <c r="DE50">
        <v>169.1</v>
      </c>
      <c r="DF50">
        <v>169.9</v>
      </c>
      <c r="DG50">
        <v>170.6</v>
      </c>
      <c r="DH50">
        <v>171.4</v>
      </c>
      <c r="DI50">
        <v>172.2</v>
      </c>
      <c r="DJ50">
        <v>173</v>
      </c>
      <c r="DK50">
        <v>174</v>
      </c>
      <c r="DL50">
        <v>174.8</v>
      </c>
      <c r="DM50">
        <v>175.4</v>
      </c>
      <c r="DN50">
        <v>176.1</v>
      </c>
      <c r="DO50">
        <v>176.8</v>
      </c>
      <c r="DP50">
        <v>177.8</v>
      </c>
      <c r="DQ50">
        <v>178.7</v>
      </c>
      <c r="DR50">
        <v>179.8</v>
      </c>
      <c r="DS50">
        <v>181.1</v>
      </c>
      <c r="DT50">
        <v>182.3</v>
      </c>
      <c r="DU50">
        <v>184.4</v>
      </c>
      <c r="DV50">
        <v>184.4</v>
      </c>
      <c r="DW50">
        <v>185</v>
      </c>
      <c r="DX50">
        <v>185.7</v>
      </c>
    </row>
    <row r="51" spans="1:128" x14ac:dyDescent="0.3">
      <c r="A51" t="s">
        <v>24</v>
      </c>
      <c r="B51" t="s">
        <v>68</v>
      </c>
      <c r="C51" s="4" t="s">
        <v>34</v>
      </c>
      <c r="E51">
        <v>103.2</v>
      </c>
      <c r="F51">
        <v>104.2</v>
      </c>
      <c r="G51">
        <v>105.1</v>
      </c>
      <c r="H51">
        <v>104.7</v>
      </c>
      <c r="I51">
        <v>104</v>
      </c>
      <c r="J51">
        <v>105.1</v>
      </c>
      <c r="K51">
        <v>107.1</v>
      </c>
      <c r="L51">
        <v>108</v>
      </c>
      <c r="M51">
        <v>109.9</v>
      </c>
      <c r="N51">
        <v>109.5</v>
      </c>
      <c r="O51">
        <v>109.5</v>
      </c>
      <c r="P51">
        <v>109.8</v>
      </c>
      <c r="Q51">
        <v>110.7</v>
      </c>
      <c r="R51">
        <v>111.1</v>
      </c>
      <c r="S51">
        <v>111.4</v>
      </c>
      <c r="T51">
        <v>111.2</v>
      </c>
      <c r="U51">
        <v>111.3</v>
      </c>
      <c r="V51">
        <v>111.8</v>
      </c>
      <c r="W51">
        <v>113.1</v>
      </c>
      <c r="X51">
        <v>112.8</v>
      </c>
      <c r="Y51">
        <v>112</v>
      </c>
      <c r="Z51">
        <v>111.8</v>
      </c>
      <c r="AA51">
        <v>110.8</v>
      </c>
      <c r="AB51">
        <v>110.1</v>
      </c>
      <c r="AC51">
        <v>109.4</v>
      </c>
      <c r="AD51">
        <v>108.7</v>
      </c>
      <c r="AE51">
        <v>109.9</v>
      </c>
      <c r="AF51">
        <v>110.1</v>
      </c>
      <c r="AG51">
        <v>112</v>
      </c>
      <c r="AH51">
        <v>112.9</v>
      </c>
      <c r="AI51">
        <v>112.7</v>
      </c>
      <c r="AJ51">
        <v>111.7</v>
      </c>
      <c r="AK51">
        <v>111.3</v>
      </c>
      <c r="AL51">
        <v>111.4</v>
      </c>
      <c r="AM51">
        <v>111.5</v>
      </c>
      <c r="AN51">
        <v>111.5</v>
      </c>
      <c r="AO51">
        <v>111.1</v>
      </c>
      <c r="AP51">
        <v>111.4</v>
      </c>
      <c r="AQ51">
        <v>110.9</v>
      </c>
      <c r="AR51">
        <v>112.1</v>
      </c>
      <c r="AS51">
        <v>112.8</v>
      </c>
      <c r="AT51">
        <v>114.2</v>
      </c>
      <c r="AU51">
        <v>113.9</v>
      </c>
      <c r="AV51">
        <v>113.1</v>
      </c>
      <c r="AW51">
        <v>114.3</v>
      </c>
      <c r="AX51">
        <v>115.2</v>
      </c>
      <c r="AY51">
        <v>115.7</v>
      </c>
      <c r="AZ51">
        <v>116</v>
      </c>
      <c r="BA51">
        <v>117</v>
      </c>
      <c r="BB51">
        <v>117.4</v>
      </c>
      <c r="BC51">
        <v>117.6</v>
      </c>
      <c r="BD51">
        <v>116.6</v>
      </c>
      <c r="BE51">
        <v>116.7</v>
      </c>
      <c r="BF51">
        <v>116.5</v>
      </c>
      <c r="BG51">
        <v>116</v>
      </c>
      <c r="BH51">
        <v>117.3</v>
      </c>
      <c r="BI51">
        <v>118.3</v>
      </c>
      <c r="BJ51">
        <v>117.8</v>
      </c>
      <c r="BK51">
        <v>118.3</v>
      </c>
      <c r="BL51">
        <v>118.5</v>
      </c>
      <c r="BM51">
        <v>119.3</v>
      </c>
      <c r="BN51">
        <v>120.2</v>
      </c>
      <c r="BO51">
        <v>121</v>
      </c>
      <c r="BP51">
        <v>121.9</v>
      </c>
      <c r="BQ51">
        <v>122.9</v>
      </c>
      <c r="BR51">
        <v>123.7</v>
      </c>
      <c r="BS51">
        <v>123.6</v>
      </c>
      <c r="BT51">
        <v>124.3</v>
      </c>
      <c r="BU51">
        <v>126</v>
      </c>
      <c r="BV51">
        <v>125.5</v>
      </c>
      <c r="BW51">
        <v>125.5</v>
      </c>
      <c r="BX51">
        <v>123.6</v>
      </c>
      <c r="BY51">
        <v>123.3</v>
      </c>
      <c r="BZ51">
        <v>123.9</v>
      </c>
      <c r="CA51">
        <v>124.6</v>
      </c>
      <c r="CB51">
        <v>124.9</v>
      </c>
      <c r="CC51">
        <v>124.6</v>
      </c>
      <c r="CD51">
        <v>125.6</v>
      </c>
      <c r="CE51">
        <v>125.8</v>
      </c>
      <c r="CF51">
        <v>126.1</v>
      </c>
      <c r="CG51">
        <v>126.3</v>
      </c>
      <c r="CH51">
        <v>126.6</v>
      </c>
      <c r="CI51">
        <v>129.80000000000001</v>
      </c>
      <c r="CJ51">
        <v>130.9</v>
      </c>
      <c r="CK51">
        <v>130.30000000000001</v>
      </c>
      <c r="CL51">
        <v>129.9</v>
      </c>
      <c r="CM51" t="s">
        <v>32</v>
      </c>
      <c r="CN51" t="s">
        <v>32</v>
      </c>
      <c r="CO51">
        <v>135</v>
      </c>
      <c r="CP51">
        <v>135</v>
      </c>
      <c r="CQ51">
        <v>138.5</v>
      </c>
      <c r="CR51">
        <v>139.6</v>
      </c>
      <c r="CS51">
        <v>140.6</v>
      </c>
      <c r="CT51">
        <v>140.4</v>
      </c>
      <c r="CU51">
        <v>140.69999999999999</v>
      </c>
      <c r="CV51">
        <v>141.9</v>
      </c>
      <c r="CW51">
        <v>145.1</v>
      </c>
      <c r="CX51">
        <v>146.19999999999999</v>
      </c>
      <c r="CY51">
        <v>146.6</v>
      </c>
      <c r="CZ51">
        <v>148.9</v>
      </c>
      <c r="DA51">
        <v>150.69999999999999</v>
      </c>
      <c r="DB51">
        <v>153.1</v>
      </c>
      <c r="DC51">
        <v>154</v>
      </c>
      <c r="DD51">
        <v>154</v>
      </c>
      <c r="DE51">
        <v>155.69999999999999</v>
      </c>
      <c r="DF51">
        <v>154.80000000000001</v>
      </c>
      <c r="DG51">
        <v>155.69999999999999</v>
      </c>
      <c r="DH51">
        <v>156.5</v>
      </c>
      <c r="DI51">
        <v>156.9</v>
      </c>
      <c r="DJ51">
        <v>157.9</v>
      </c>
      <c r="DK51">
        <v>162.6</v>
      </c>
      <c r="DL51">
        <v>163</v>
      </c>
      <c r="DM51">
        <v>161.1</v>
      </c>
      <c r="DN51">
        <v>161.6</v>
      </c>
      <c r="DO51">
        <v>161.9</v>
      </c>
      <c r="DP51">
        <v>162.30000000000001</v>
      </c>
      <c r="DQ51">
        <v>162.9</v>
      </c>
      <c r="DR51">
        <v>163</v>
      </c>
      <c r="DS51">
        <v>163.4</v>
      </c>
      <c r="DT51">
        <v>163.6</v>
      </c>
      <c r="DU51">
        <v>164.2</v>
      </c>
      <c r="DV51">
        <v>164.2</v>
      </c>
      <c r="DW51">
        <v>164.5</v>
      </c>
      <c r="DX51">
        <v>164.8</v>
      </c>
    </row>
    <row r="52" spans="1:128" x14ac:dyDescent="0.3">
      <c r="A52" t="s">
        <v>25</v>
      </c>
      <c r="B52" t="s">
        <v>67</v>
      </c>
      <c r="C52" s="4" t="s">
        <v>34</v>
      </c>
      <c r="E52">
        <v>103.1</v>
      </c>
      <c r="F52">
        <v>103.6</v>
      </c>
      <c r="G52">
        <v>103.7</v>
      </c>
      <c r="H52">
        <v>104.2</v>
      </c>
      <c r="I52">
        <v>104.8</v>
      </c>
      <c r="J52">
        <v>105.4</v>
      </c>
      <c r="K52">
        <v>106.1</v>
      </c>
      <c r="L52">
        <v>106.6</v>
      </c>
      <c r="M52">
        <v>107.5</v>
      </c>
      <c r="N52">
        <v>108.1</v>
      </c>
      <c r="O52">
        <v>108.6</v>
      </c>
      <c r="P52">
        <v>109</v>
      </c>
      <c r="Q52">
        <v>109.7</v>
      </c>
      <c r="R52">
        <v>110.1</v>
      </c>
      <c r="S52">
        <v>110.6</v>
      </c>
      <c r="T52">
        <v>110.9</v>
      </c>
      <c r="U52">
        <v>111.2</v>
      </c>
      <c r="V52">
        <v>111.6</v>
      </c>
      <c r="W52">
        <v>112.1</v>
      </c>
      <c r="X52">
        <v>112.6</v>
      </c>
      <c r="Y52">
        <v>113.1</v>
      </c>
      <c r="Z52">
        <v>113.3</v>
      </c>
      <c r="AA52">
        <v>113.7</v>
      </c>
      <c r="AB52">
        <v>113.9</v>
      </c>
      <c r="AC52">
        <v>114.3</v>
      </c>
      <c r="AD52">
        <v>114.9</v>
      </c>
      <c r="AE52">
        <v>115.4</v>
      </c>
      <c r="AF52">
        <v>115.9</v>
      </c>
      <c r="AG52">
        <v>116.3</v>
      </c>
      <c r="AH52">
        <v>116.9</v>
      </c>
      <c r="AI52">
        <v>117.2</v>
      </c>
      <c r="AJ52">
        <v>117.8</v>
      </c>
      <c r="AK52">
        <v>118.3</v>
      </c>
      <c r="AL52">
        <v>118.7</v>
      </c>
      <c r="AM52">
        <v>119.2</v>
      </c>
      <c r="AN52">
        <v>119.6</v>
      </c>
      <c r="AO52">
        <v>119.8</v>
      </c>
      <c r="AP52">
        <v>120.3</v>
      </c>
      <c r="AQ52">
        <v>120.6</v>
      </c>
      <c r="AR52">
        <v>121.1</v>
      </c>
      <c r="AS52">
        <v>121.5</v>
      </c>
      <c r="AT52">
        <v>121.7</v>
      </c>
      <c r="AU52">
        <v>122.4</v>
      </c>
      <c r="AV52">
        <v>122.7</v>
      </c>
      <c r="AW52">
        <v>122.9</v>
      </c>
      <c r="AX52">
        <v>123.5</v>
      </c>
      <c r="AY52">
        <v>124</v>
      </c>
      <c r="AZ52">
        <v>124.2</v>
      </c>
      <c r="BA52">
        <v>124.2</v>
      </c>
      <c r="BB52">
        <v>124.6</v>
      </c>
      <c r="BC52">
        <v>125</v>
      </c>
      <c r="BD52">
        <v>125.1</v>
      </c>
      <c r="BE52">
        <v>125.7</v>
      </c>
      <c r="BF52">
        <v>125.9</v>
      </c>
      <c r="BG52">
        <v>126.6</v>
      </c>
      <c r="BH52">
        <v>127.3</v>
      </c>
      <c r="BI52">
        <v>127.9</v>
      </c>
      <c r="BJ52">
        <v>128.4</v>
      </c>
      <c r="BK52">
        <v>128.9</v>
      </c>
      <c r="BL52">
        <v>129</v>
      </c>
      <c r="BM52">
        <v>129.69999999999999</v>
      </c>
      <c r="BN52">
        <v>129.9</v>
      </c>
      <c r="BO52">
        <v>130.4</v>
      </c>
      <c r="BP52">
        <v>131.30000000000001</v>
      </c>
      <c r="BQ52">
        <v>131.80000000000001</v>
      </c>
      <c r="BR52">
        <v>132.6</v>
      </c>
      <c r="BS52">
        <v>133.1</v>
      </c>
      <c r="BT52">
        <v>133.6</v>
      </c>
      <c r="BU52">
        <v>134.5</v>
      </c>
      <c r="BV52">
        <v>136.5</v>
      </c>
      <c r="BW52">
        <v>136.5</v>
      </c>
      <c r="BX52">
        <v>136.80000000000001</v>
      </c>
      <c r="BY52">
        <v>136.69999999999999</v>
      </c>
      <c r="BZ52">
        <v>137.1</v>
      </c>
      <c r="CA52">
        <v>137.69999999999999</v>
      </c>
      <c r="CB52">
        <v>139.19999999999999</v>
      </c>
      <c r="CC52">
        <v>139.6</v>
      </c>
      <c r="CD52">
        <v>140.5</v>
      </c>
      <c r="CE52">
        <v>140.9</v>
      </c>
      <c r="CF52">
        <v>141.30000000000001</v>
      </c>
      <c r="CG52">
        <v>141.69999999999999</v>
      </c>
      <c r="CH52">
        <v>142.1</v>
      </c>
      <c r="CI52">
        <v>142.30000000000001</v>
      </c>
      <c r="CJ52">
        <v>142.80000000000001</v>
      </c>
      <c r="CK52">
        <v>143.19999999999999</v>
      </c>
      <c r="CL52">
        <v>143.69999999999999</v>
      </c>
      <c r="CM52" t="s">
        <v>32</v>
      </c>
      <c r="CN52" t="s">
        <v>32</v>
      </c>
      <c r="CO52">
        <v>148.30000000000001</v>
      </c>
      <c r="CP52">
        <v>148.30000000000001</v>
      </c>
      <c r="CQ52">
        <v>146</v>
      </c>
      <c r="CR52">
        <v>146.6</v>
      </c>
      <c r="CS52">
        <v>146.5</v>
      </c>
      <c r="CT52">
        <v>148.4</v>
      </c>
      <c r="CU52">
        <v>148.5</v>
      </c>
      <c r="CV52">
        <v>149.6</v>
      </c>
      <c r="CW52">
        <v>151.5</v>
      </c>
      <c r="CX52">
        <v>152.6</v>
      </c>
      <c r="CY52">
        <v>153.19999999999999</v>
      </c>
      <c r="CZ52">
        <v>155.80000000000001</v>
      </c>
      <c r="DA52">
        <v>154.9</v>
      </c>
      <c r="DB52">
        <v>155.30000000000001</v>
      </c>
      <c r="DC52">
        <v>157.6</v>
      </c>
      <c r="DD52">
        <v>157.69999999999999</v>
      </c>
      <c r="DE52">
        <v>158.6</v>
      </c>
      <c r="DF52">
        <v>159.80000000000001</v>
      </c>
      <c r="DG52">
        <v>160.6</v>
      </c>
      <c r="DH52">
        <v>161.19999999999999</v>
      </c>
      <c r="DI52">
        <v>162.1</v>
      </c>
      <c r="DJ52">
        <v>163.30000000000001</v>
      </c>
      <c r="DK52">
        <v>164.4</v>
      </c>
      <c r="DL52">
        <v>165.1</v>
      </c>
      <c r="DM52">
        <v>165.8</v>
      </c>
      <c r="DN52">
        <v>166.3</v>
      </c>
      <c r="DO52">
        <v>166.9</v>
      </c>
      <c r="DP52">
        <v>167.6</v>
      </c>
      <c r="DQ52">
        <v>168.2</v>
      </c>
      <c r="DR52">
        <v>168.5</v>
      </c>
      <c r="DS52">
        <v>168.9</v>
      </c>
      <c r="DT52">
        <v>169.5</v>
      </c>
      <c r="DU52">
        <v>170.3</v>
      </c>
      <c r="DV52">
        <v>170.3</v>
      </c>
      <c r="DW52">
        <v>170.7</v>
      </c>
      <c r="DX52">
        <v>171.2</v>
      </c>
    </row>
    <row r="53" spans="1:128" x14ac:dyDescent="0.3">
      <c r="A53" t="s">
        <v>26</v>
      </c>
      <c r="B53" t="s">
        <v>26</v>
      </c>
      <c r="C53" s="4" t="s">
        <v>34</v>
      </c>
      <c r="E53">
        <v>103.6</v>
      </c>
      <c r="F53">
        <v>103.9</v>
      </c>
      <c r="G53">
        <v>104</v>
      </c>
      <c r="H53">
        <v>105</v>
      </c>
      <c r="I53">
        <v>105.6</v>
      </c>
      <c r="J53">
        <v>107.4</v>
      </c>
      <c r="K53">
        <v>109.1</v>
      </c>
      <c r="L53">
        <v>109.9</v>
      </c>
      <c r="M53">
        <v>110.6</v>
      </c>
      <c r="N53">
        <v>110.8</v>
      </c>
      <c r="O53">
        <v>111.2</v>
      </c>
      <c r="P53">
        <v>111.5</v>
      </c>
      <c r="Q53">
        <v>111.6</v>
      </c>
      <c r="R53">
        <v>111.8</v>
      </c>
      <c r="S53">
        <v>112</v>
      </c>
      <c r="T53">
        <v>112.7</v>
      </c>
      <c r="U53">
        <v>113</v>
      </c>
      <c r="V53">
        <v>114.8</v>
      </c>
      <c r="W53">
        <v>116.8</v>
      </c>
      <c r="X53">
        <v>118</v>
      </c>
      <c r="Y53">
        <v>118.6</v>
      </c>
      <c r="Z53">
        <v>118.8</v>
      </c>
      <c r="AA53">
        <v>119</v>
      </c>
      <c r="AB53">
        <v>119.5</v>
      </c>
      <c r="AC53">
        <v>119.7</v>
      </c>
      <c r="AD53">
        <v>119.7</v>
      </c>
      <c r="AE53">
        <v>120.1</v>
      </c>
      <c r="AF53">
        <v>121</v>
      </c>
      <c r="AG53">
        <v>121.4</v>
      </c>
      <c r="AH53">
        <v>123.1</v>
      </c>
      <c r="AI53">
        <v>124.4</v>
      </c>
      <c r="AJ53">
        <v>125.1</v>
      </c>
      <c r="AK53">
        <v>125.7</v>
      </c>
      <c r="AL53">
        <v>125.9</v>
      </c>
      <c r="AM53">
        <v>126.3</v>
      </c>
      <c r="AN53">
        <v>126.2</v>
      </c>
      <c r="AO53">
        <v>126.3</v>
      </c>
      <c r="AP53">
        <v>126.6</v>
      </c>
      <c r="AQ53">
        <v>126.9</v>
      </c>
      <c r="AR53">
        <v>127.7</v>
      </c>
      <c r="AS53">
        <v>128.5</v>
      </c>
      <c r="AT53">
        <v>129.69999999999999</v>
      </c>
      <c r="AU53">
        <v>130.80000000000001</v>
      </c>
      <c r="AV53">
        <v>131.69999999999999</v>
      </c>
      <c r="AW53">
        <v>131.80000000000001</v>
      </c>
      <c r="AX53">
        <v>132.4</v>
      </c>
      <c r="AY53">
        <v>132.80000000000001</v>
      </c>
      <c r="AZ53">
        <v>133.1</v>
      </c>
      <c r="BA53">
        <v>133.30000000000001</v>
      </c>
      <c r="BB53">
        <v>133.4</v>
      </c>
      <c r="BC53">
        <v>133.80000000000001</v>
      </c>
      <c r="BD53">
        <v>134.5</v>
      </c>
      <c r="BE53">
        <v>134.80000000000001</v>
      </c>
      <c r="BF53">
        <v>135.4</v>
      </c>
      <c r="BG53">
        <v>136.80000000000001</v>
      </c>
      <c r="BH53">
        <v>137.6</v>
      </c>
      <c r="BI53">
        <v>137.4</v>
      </c>
      <c r="BJ53">
        <v>137.9</v>
      </c>
      <c r="BK53">
        <v>138.6</v>
      </c>
      <c r="BL53">
        <v>138.5</v>
      </c>
      <c r="BM53">
        <v>139</v>
      </c>
      <c r="BN53">
        <v>139</v>
      </c>
      <c r="BO53">
        <v>139.80000000000001</v>
      </c>
      <c r="BP53">
        <v>141.4</v>
      </c>
      <c r="BQ53">
        <v>142.1</v>
      </c>
      <c r="BR53">
        <v>142.80000000000001</v>
      </c>
      <c r="BS53">
        <v>144.69999999999999</v>
      </c>
      <c r="BT53">
        <v>146</v>
      </c>
      <c r="BU53">
        <v>146.19999999999999</v>
      </c>
      <c r="BV53">
        <v>147.80000000000001</v>
      </c>
      <c r="BW53">
        <v>147.80000000000001</v>
      </c>
      <c r="BX53">
        <v>150.1</v>
      </c>
      <c r="BY53">
        <v>150.19999999999999</v>
      </c>
      <c r="BZ53">
        <v>150.30000000000001</v>
      </c>
      <c r="CA53">
        <v>150.30000000000001</v>
      </c>
      <c r="CB53">
        <v>151.6</v>
      </c>
      <c r="CC53">
        <v>152.5</v>
      </c>
      <c r="CD53">
        <v>154</v>
      </c>
      <c r="CE53">
        <v>154.9</v>
      </c>
      <c r="CF53">
        <v>155.19999999999999</v>
      </c>
      <c r="CG53">
        <v>155.4</v>
      </c>
      <c r="CH53">
        <v>155.5</v>
      </c>
      <c r="CI53">
        <v>155.69999999999999</v>
      </c>
      <c r="CJ53">
        <v>156.1</v>
      </c>
      <c r="CK53">
        <v>156.19999999999999</v>
      </c>
      <c r="CL53">
        <v>156.1</v>
      </c>
      <c r="CM53" t="s">
        <v>32</v>
      </c>
      <c r="CN53" t="s">
        <v>32</v>
      </c>
      <c r="CO53">
        <v>156.4</v>
      </c>
      <c r="CP53">
        <v>156.4</v>
      </c>
      <c r="CQ53">
        <v>158.5</v>
      </c>
      <c r="CR53">
        <v>157.5</v>
      </c>
      <c r="CS53">
        <v>158.5</v>
      </c>
      <c r="CT53">
        <v>158.6</v>
      </c>
      <c r="CU53">
        <v>159.4</v>
      </c>
      <c r="CV53">
        <v>159.19999999999999</v>
      </c>
      <c r="CW53">
        <v>159.5</v>
      </c>
      <c r="CX53">
        <v>160.19999999999999</v>
      </c>
      <c r="CY53">
        <v>160.30000000000001</v>
      </c>
      <c r="CZ53">
        <v>161.19999999999999</v>
      </c>
      <c r="DA53">
        <v>161.69999999999999</v>
      </c>
      <c r="DB53">
        <v>163.19999999999999</v>
      </c>
      <c r="DC53">
        <v>163.80000000000001</v>
      </c>
      <c r="DD53">
        <v>163.69999999999999</v>
      </c>
      <c r="DE53">
        <v>163.9</v>
      </c>
      <c r="DF53">
        <v>164.3</v>
      </c>
      <c r="DG53">
        <v>164.4</v>
      </c>
      <c r="DH53">
        <v>164.7</v>
      </c>
      <c r="DI53">
        <v>165.4</v>
      </c>
      <c r="DJ53">
        <v>166</v>
      </c>
      <c r="DK53">
        <v>166.9</v>
      </c>
      <c r="DL53">
        <v>167.9</v>
      </c>
      <c r="DM53">
        <v>169</v>
      </c>
      <c r="DN53">
        <v>171.4</v>
      </c>
      <c r="DO53">
        <v>172.3</v>
      </c>
      <c r="DP53">
        <v>173.1</v>
      </c>
      <c r="DQ53">
        <v>173.4</v>
      </c>
      <c r="DR53">
        <v>173.7</v>
      </c>
      <c r="DS53">
        <v>174.1</v>
      </c>
      <c r="DT53">
        <v>174.3</v>
      </c>
      <c r="DU53">
        <v>175</v>
      </c>
      <c r="DV53">
        <v>175</v>
      </c>
      <c r="DW53">
        <v>176.4</v>
      </c>
      <c r="DX53">
        <v>177.1</v>
      </c>
    </row>
    <row r="54" spans="1:128" x14ac:dyDescent="0.3">
      <c r="A54" t="s">
        <v>27</v>
      </c>
      <c r="B54" t="s">
        <v>68</v>
      </c>
      <c r="C54" s="4" t="s">
        <v>34</v>
      </c>
      <c r="E54">
        <v>104.5</v>
      </c>
      <c r="F54">
        <v>104.5</v>
      </c>
      <c r="G54">
        <v>104.3</v>
      </c>
      <c r="H54">
        <v>102.9</v>
      </c>
      <c r="I54">
        <v>102.3</v>
      </c>
      <c r="J54">
        <v>102.8</v>
      </c>
      <c r="K54">
        <v>102.8</v>
      </c>
      <c r="L54">
        <v>105.4</v>
      </c>
      <c r="M54">
        <v>106.8</v>
      </c>
      <c r="N54">
        <v>107.4</v>
      </c>
      <c r="O54">
        <v>108.1</v>
      </c>
      <c r="P54">
        <v>107.9</v>
      </c>
      <c r="Q54">
        <v>108.2</v>
      </c>
      <c r="R54">
        <v>108.7</v>
      </c>
      <c r="S54">
        <v>109</v>
      </c>
      <c r="T54">
        <v>109</v>
      </c>
      <c r="U54">
        <v>109.1</v>
      </c>
      <c r="V54">
        <v>108.3</v>
      </c>
      <c r="W54">
        <v>109.2</v>
      </c>
      <c r="X54">
        <v>109.9</v>
      </c>
      <c r="Y54">
        <v>109.5</v>
      </c>
      <c r="Z54">
        <v>109.6</v>
      </c>
      <c r="AA54">
        <v>109.1</v>
      </c>
      <c r="AB54">
        <v>109.8</v>
      </c>
      <c r="AC54">
        <v>110.7</v>
      </c>
      <c r="AD54">
        <v>111.2</v>
      </c>
      <c r="AE54">
        <v>111</v>
      </c>
      <c r="AF54">
        <v>111.7</v>
      </c>
      <c r="AG54">
        <v>112.3</v>
      </c>
      <c r="AH54">
        <v>112.8</v>
      </c>
      <c r="AI54">
        <v>112.3</v>
      </c>
      <c r="AJ54">
        <v>112.3</v>
      </c>
      <c r="AK54">
        <v>113.4</v>
      </c>
      <c r="AL54">
        <v>113.9</v>
      </c>
      <c r="AM54">
        <v>113.8</v>
      </c>
      <c r="AN54">
        <v>113.7</v>
      </c>
      <c r="AO54">
        <v>114.5</v>
      </c>
      <c r="AP54">
        <v>116.6</v>
      </c>
      <c r="AQ54">
        <v>117.3</v>
      </c>
      <c r="AR54">
        <v>118.1</v>
      </c>
      <c r="AS54">
        <v>119.2</v>
      </c>
      <c r="AT54">
        <v>119.4</v>
      </c>
      <c r="AU54">
        <v>120.5</v>
      </c>
      <c r="AV54">
        <v>121.5</v>
      </c>
      <c r="AW54">
        <v>122.1</v>
      </c>
      <c r="AX54">
        <v>122.1</v>
      </c>
      <c r="AY54">
        <v>122.6</v>
      </c>
      <c r="AZ54">
        <v>121.1</v>
      </c>
      <c r="BA54">
        <v>121.7</v>
      </c>
      <c r="BB54">
        <v>122.6</v>
      </c>
      <c r="BC54">
        <v>122.6</v>
      </c>
      <c r="BD54">
        <v>123.1</v>
      </c>
      <c r="BE54">
        <v>123</v>
      </c>
      <c r="BF54">
        <v>123.4</v>
      </c>
      <c r="BG54">
        <v>123.6</v>
      </c>
      <c r="BH54">
        <v>124.5</v>
      </c>
      <c r="BI54">
        <v>125.7</v>
      </c>
      <c r="BJ54">
        <v>126.2</v>
      </c>
      <c r="BK54">
        <v>126.8</v>
      </c>
      <c r="BL54">
        <v>126.5</v>
      </c>
      <c r="BM54">
        <v>127.3</v>
      </c>
      <c r="BN54">
        <v>127.7</v>
      </c>
      <c r="BO54">
        <v>128.19999999999999</v>
      </c>
      <c r="BP54">
        <v>129.19999999999999</v>
      </c>
      <c r="BQ54">
        <v>129.9</v>
      </c>
      <c r="BR54">
        <v>130.1</v>
      </c>
      <c r="BS54">
        <v>130.1</v>
      </c>
      <c r="BT54">
        <v>130.1</v>
      </c>
      <c r="BU54">
        <v>130.9</v>
      </c>
      <c r="BV54">
        <v>132</v>
      </c>
      <c r="BW54">
        <v>132</v>
      </c>
      <c r="BX54">
        <v>132.19999999999999</v>
      </c>
      <c r="BY54">
        <v>132.80000000000001</v>
      </c>
      <c r="BZ54">
        <v>134.1</v>
      </c>
      <c r="CA54">
        <v>133.4</v>
      </c>
      <c r="CB54">
        <v>133.4</v>
      </c>
      <c r="CC54">
        <v>134.30000000000001</v>
      </c>
      <c r="CD54">
        <v>135.69999999999999</v>
      </c>
      <c r="CE54">
        <v>138.4</v>
      </c>
      <c r="CF54">
        <v>139.69999999999999</v>
      </c>
      <c r="CG54">
        <v>140</v>
      </c>
      <c r="CH54">
        <v>140.30000000000001</v>
      </c>
      <c r="CI54">
        <v>140.4</v>
      </c>
      <c r="CJ54">
        <v>142.30000000000001</v>
      </c>
      <c r="CK54">
        <v>143.4</v>
      </c>
      <c r="CL54">
        <v>145.19999999999999</v>
      </c>
      <c r="CM54" t="s">
        <v>32</v>
      </c>
      <c r="CN54" t="s">
        <v>32</v>
      </c>
      <c r="CO54">
        <v>151.6</v>
      </c>
      <c r="CP54">
        <v>151.6</v>
      </c>
      <c r="CQ54">
        <v>154.30000000000001</v>
      </c>
      <c r="CR54">
        <v>158.4</v>
      </c>
      <c r="CS54">
        <v>157</v>
      </c>
      <c r="CT54">
        <v>156.9</v>
      </c>
      <c r="CU54">
        <v>157.1</v>
      </c>
      <c r="CV54">
        <v>156.80000000000001</v>
      </c>
      <c r="CW54">
        <v>155.80000000000001</v>
      </c>
      <c r="CX54">
        <v>153.80000000000001</v>
      </c>
      <c r="CY54">
        <v>155.4</v>
      </c>
      <c r="CZ54">
        <v>158.6</v>
      </c>
      <c r="DA54">
        <v>158.80000000000001</v>
      </c>
      <c r="DB54">
        <v>160.1</v>
      </c>
      <c r="DC54">
        <v>160</v>
      </c>
      <c r="DD54">
        <v>160</v>
      </c>
      <c r="DE54">
        <v>160.80000000000001</v>
      </c>
      <c r="DF54">
        <v>162.19999999999999</v>
      </c>
      <c r="DG54">
        <v>162.6</v>
      </c>
      <c r="DH54">
        <v>163</v>
      </c>
      <c r="DI54">
        <v>164.4</v>
      </c>
      <c r="DJ54">
        <v>167.2</v>
      </c>
      <c r="DK54">
        <v>168.8</v>
      </c>
      <c r="DL54">
        <v>168.4</v>
      </c>
      <c r="DM54">
        <v>169.4</v>
      </c>
      <c r="DN54">
        <v>169.7</v>
      </c>
      <c r="DO54">
        <v>171.2</v>
      </c>
      <c r="DP54">
        <v>170.9</v>
      </c>
      <c r="DQ54">
        <v>172.1</v>
      </c>
      <c r="DR54">
        <v>173.6</v>
      </c>
      <c r="DS54">
        <v>175.8</v>
      </c>
      <c r="DT54">
        <v>178.6</v>
      </c>
      <c r="DU54">
        <v>181</v>
      </c>
      <c r="DV54">
        <v>181</v>
      </c>
      <c r="DW54">
        <v>184</v>
      </c>
      <c r="DX54">
        <v>185.2</v>
      </c>
    </row>
    <row r="55" spans="1:128" x14ac:dyDescent="0.3">
      <c r="A55" t="s">
        <v>28</v>
      </c>
      <c r="B55" t="s">
        <v>69</v>
      </c>
      <c r="C55" s="4" t="s">
        <v>34</v>
      </c>
      <c r="E55">
        <v>103.9</v>
      </c>
      <c r="F55">
        <v>104.4</v>
      </c>
      <c r="G55">
        <v>104.7</v>
      </c>
      <c r="H55">
        <v>104.8</v>
      </c>
      <c r="I55">
        <v>104.8</v>
      </c>
      <c r="J55">
        <v>105.8</v>
      </c>
      <c r="K55">
        <v>106.9</v>
      </c>
      <c r="L55">
        <v>107.9</v>
      </c>
      <c r="M55">
        <v>109</v>
      </c>
      <c r="N55">
        <v>109.2</v>
      </c>
      <c r="O55">
        <v>109.7</v>
      </c>
      <c r="P55">
        <v>110</v>
      </c>
      <c r="Q55">
        <v>110.6</v>
      </c>
      <c r="R55">
        <v>110.9</v>
      </c>
      <c r="S55">
        <v>111.3</v>
      </c>
      <c r="T55">
        <v>111.5</v>
      </c>
      <c r="U55">
        <v>111.8</v>
      </c>
      <c r="V55">
        <v>112.3</v>
      </c>
      <c r="W55">
        <v>113.3</v>
      </c>
      <c r="X55">
        <v>113.7</v>
      </c>
      <c r="Y55">
        <v>113.7</v>
      </c>
      <c r="Z55">
        <v>113.9</v>
      </c>
      <c r="AA55">
        <v>113.8</v>
      </c>
      <c r="AB55">
        <v>113.8</v>
      </c>
      <c r="AC55">
        <v>114</v>
      </c>
      <c r="AD55">
        <v>114.1</v>
      </c>
      <c r="AE55">
        <v>114.7</v>
      </c>
      <c r="AF55">
        <v>115.1</v>
      </c>
      <c r="AG55">
        <v>116.1</v>
      </c>
      <c r="AH55">
        <v>117</v>
      </c>
      <c r="AI55">
        <v>117.2</v>
      </c>
      <c r="AJ55">
        <v>117.2</v>
      </c>
      <c r="AK55">
        <v>117.5</v>
      </c>
      <c r="AL55">
        <v>117.9</v>
      </c>
      <c r="AM55">
        <v>118.1</v>
      </c>
      <c r="AN55">
        <v>118.3</v>
      </c>
      <c r="AO55">
        <v>118.5</v>
      </c>
      <c r="AP55">
        <v>119.1</v>
      </c>
      <c r="AQ55">
        <v>119.3</v>
      </c>
      <c r="AR55">
        <v>120</v>
      </c>
      <c r="AS55">
        <v>120.7</v>
      </c>
      <c r="AT55">
        <v>121.5</v>
      </c>
      <c r="AU55">
        <v>121.9</v>
      </c>
      <c r="AV55">
        <v>122.1</v>
      </c>
      <c r="AW55">
        <v>122.8</v>
      </c>
      <c r="AX55">
        <v>123.4</v>
      </c>
      <c r="AY55">
        <v>123.8</v>
      </c>
      <c r="AZ55">
        <v>123.9</v>
      </c>
      <c r="BA55">
        <v>124.4</v>
      </c>
      <c r="BB55">
        <v>124.8</v>
      </c>
      <c r="BC55">
        <v>125.1</v>
      </c>
      <c r="BD55">
        <v>125.1</v>
      </c>
      <c r="BE55">
        <v>125.3</v>
      </c>
      <c r="BF55">
        <v>125.5</v>
      </c>
      <c r="BG55">
        <v>125.9</v>
      </c>
      <c r="BH55">
        <v>126.8</v>
      </c>
      <c r="BI55">
        <v>127.5</v>
      </c>
      <c r="BJ55">
        <v>127.7</v>
      </c>
      <c r="BK55">
        <v>128.4</v>
      </c>
      <c r="BL55">
        <v>128.6</v>
      </c>
      <c r="BM55">
        <v>129.1</v>
      </c>
      <c r="BN55">
        <v>129.6</v>
      </c>
      <c r="BO55">
        <v>130.30000000000001</v>
      </c>
      <c r="BP55">
        <v>131.30000000000001</v>
      </c>
      <c r="BQ55">
        <v>132.1</v>
      </c>
      <c r="BR55">
        <v>132.6</v>
      </c>
      <c r="BS55">
        <v>133.19999999999999</v>
      </c>
      <c r="BT55">
        <v>133.9</v>
      </c>
      <c r="BU55">
        <v>134.69999999999999</v>
      </c>
      <c r="BV55">
        <v>136.30000000000001</v>
      </c>
      <c r="BW55">
        <v>136.30000000000001</v>
      </c>
      <c r="BX55">
        <v>136.80000000000001</v>
      </c>
      <c r="BY55">
        <v>136.9</v>
      </c>
      <c r="BZ55">
        <v>137.4</v>
      </c>
      <c r="CA55">
        <v>137.69999999999999</v>
      </c>
      <c r="CB55">
        <v>138.19999999999999</v>
      </c>
      <c r="CC55">
        <v>138.6</v>
      </c>
      <c r="CD55">
        <v>139.5</v>
      </c>
      <c r="CE55">
        <v>140.19999999999999</v>
      </c>
      <c r="CF55">
        <v>140.69999999999999</v>
      </c>
      <c r="CG55">
        <v>141</v>
      </c>
      <c r="CH55">
        <v>141.30000000000001</v>
      </c>
      <c r="CI55">
        <v>142.5</v>
      </c>
      <c r="CJ55">
        <v>143.4</v>
      </c>
      <c r="CK55">
        <v>143.6</v>
      </c>
      <c r="CL55">
        <v>143.80000000000001</v>
      </c>
      <c r="CM55" t="s">
        <v>32</v>
      </c>
      <c r="CN55" t="s">
        <v>32</v>
      </c>
      <c r="CO55">
        <v>147</v>
      </c>
      <c r="CP55">
        <v>147</v>
      </c>
      <c r="CQ55">
        <v>149</v>
      </c>
      <c r="CR55">
        <v>150</v>
      </c>
      <c r="CS55">
        <v>150.4</v>
      </c>
      <c r="CT55">
        <v>150.69999999999999</v>
      </c>
      <c r="CU55">
        <v>151.19999999999999</v>
      </c>
      <c r="CV55">
        <v>151.9</v>
      </c>
      <c r="CW55">
        <v>153.4</v>
      </c>
      <c r="CX55">
        <v>153.80000000000001</v>
      </c>
      <c r="CY55">
        <v>154.4</v>
      </c>
      <c r="CZ55">
        <v>156.80000000000001</v>
      </c>
      <c r="DA55">
        <v>157.6</v>
      </c>
      <c r="DB55">
        <v>159</v>
      </c>
      <c r="DC55">
        <v>160</v>
      </c>
      <c r="DD55">
        <v>160</v>
      </c>
      <c r="DE55">
        <v>161</v>
      </c>
      <c r="DF55">
        <v>161.4</v>
      </c>
      <c r="DG55">
        <v>162</v>
      </c>
      <c r="DH55">
        <v>162.69999999999999</v>
      </c>
      <c r="DI55">
        <v>163.5</v>
      </c>
      <c r="DJ55">
        <v>164.6</v>
      </c>
      <c r="DK55">
        <v>166.8</v>
      </c>
      <c r="DL55">
        <v>167.5</v>
      </c>
      <c r="DM55">
        <v>167.5</v>
      </c>
      <c r="DN55">
        <v>168.4</v>
      </c>
      <c r="DO55">
        <v>169.1</v>
      </c>
      <c r="DP55">
        <v>169.7</v>
      </c>
      <c r="DQ55">
        <v>170.5</v>
      </c>
      <c r="DR55">
        <v>171.1</v>
      </c>
      <c r="DS55">
        <v>172</v>
      </c>
      <c r="DT55">
        <v>172.8</v>
      </c>
      <c r="DU55">
        <v>174.1</v>
      </c>
      <c r="DV55">
        <v>174.1</v>
      </c>
      <c r="DW55">
        <v>175</v>
      </c>
      <c r="DX55">
        <v>175.7</v>
      </c>
    </row>
    <row r="56" spans="1:128" x14ac:dyDescent="0.3">
      <c r="A56" t="s">
        <v>29</v>
      </c>
      <c r="B56" t="s">
        <v>70</v>
      </c>
      <c r="C56" s="4" t="s">
        <v>34</v>
      </c>
      <c r="E56">
        <v>104.6</v>
      </c>
      <c r="F56">
        <v>105.3</v>
      </c>
      <c r="G56">
        <v>105.5</v>
      </c>
      <c r="H56">
        <v>106.1</v>
      </c>
      <c r="I56">
        <v>106.9</v>
      </c>
      <c r="J56">
        <v>109.3</v>
      </c>
      <c r="K56">
        <v>111</v>
      </c>
      <c r="L56">
        <v>112.4</v>
      </c>
      <c r="M56">
        <v>113.7</v>
      </c>
      <c r="N56">
        <v>114.8</v>
      </c>
      <c r="O56">
        <v>116.3</v>
      </c>
      <c r="P56">
        <v>114.5</v>
      </c>
      <c r="Q56">
        <v>113.6</v>
      </c>
      <c r="R56">
        <v>113.6</v>
      </c>
      <c r="S56">
        <v>114.2</v>
      </c>
      <c r="T56">
        <v>115.1</v>
      </c>
      <c r="U56">
        <v>115.8</v>
      </c>
      <c r="V56">
        <v>116.7</v>
      </c>
      <c r="W56">
        <v>119.2</v>
      </c>
      <c r="X56">
        <v>120.3</v>
      </c>
      <c r="Y56">
        <v>120.1</v>
      </c>
      <c r="Z56">
        <v>120.1</v>
      </c>
      <c r="AA56">
        <v>120.1</v>
      </c>
      <c r="AB56">
        <v>119.4</v>
      </c>
      <c r="AC56">
        <v>119.5</v>
      </c>
      <c r="AD56">
        <v>119.7</v>
      </c>
      <c r="AE56">
        <v>120.2</v>
      </c>
      <c r="AF56">
        <v>120.7</v>
      </c>
      <c r="AG56">
        <v>121.6</v>
      </c>
      <c r="AH56">
        <v>123</v>
      </c>
      <c r="AI56">
        <v>123.6</v>
      </c>
      <c r="AJ56">
        <v>124.8</v>
      </c>
      <c r="AK56">
        <v>125.4</v>
      </c>
      <c r="AL56">
        <v>126.1</v>
      </c>
      <c r="AM56">
        <v>126.6</v>
      </c>
      <c r="AN56">
        <v>126.1</v>
      </c>
      <c r="AO56">
        <v>126.3</v>
      </c>
      <c r="AP56">
        <v>126</v>
      </c>
      <c r="AQ56">
        <v>126</v>
      </c>
      <c r="AR56">
        <v>127.3</v>
      </c>
      <c r="AS56">
        <v>128.6</v>
      </c>
      <c r="AT56">
        <v>130.1</v>
      </c>
      <c r="AU56">
        <v>131.1</v>
      </c>
      <c r="AV56">
        <v>131.1</v>
      </c>
      <c r="AW56">
        <v>130.9</v>
      </c>
      <c r="AX56">
        <v>131.4</v>
      </c>
      <c r="AY56">
        <v>131.19999999999999</v>
      </c>
      <c r="AZ56">
        <v>130.4</v>
      </c>
      <c r="BA56">
        <v>130.30000000000001</v>
      </c>
      <c r="BB56">
        <v>130.6</v>
      </c>
      <c r="BC56">
        <v>130.9</v>
      </c>
      <c r="BD56">
        <v>131.1</v>
      </c>
      <c r="BE56">
        <v>131.4</v>
      </c>
      <c r="BF56">
        <v>132</v>
      </c>
      <c r="BG56">
        <v>134.19999999999999</v>
      </c>
      <c r="BH56">
        <v>135.4</v>
      </c>
      <c r="BI56">
        <v>135.19999999999999</v>
      </c>
      <c r="BJ56">
        <v>136.1</v>
      </c>
      <c r="BK56">
        <v>137.6</v>
      </c>
      <c r="BL56">
        <v>137.19999999999999</v>
      </c>
      <c r="BM56">
        <v>136.9</v>
      </c>
      <c r="BN56">
        <v>136.4</v>
      </c>
      <c r="BO56">
        <v>136.5</v>
      </c>
      <c r="BP56">
        <v>137.1</v>
      </c>
      <c r="BQ56">
        <v>137.80000000000001</v>
      </c>
      <c r="BR56">
        <v>138.5</v>
      </c>
      <c r="BS56">
        <v>139.80000000000001</v>
      </c>
      <c r="BT56">
        <v>140.4</v>
      </c>
      <c r="BU56">
        <v>140.19999999999999</v>
      </c>
      <c r="BV56">
        <v>140.80000000000001</v>
      </c>
      <c r="BW56">
        <v>140.80000000000001</v>
      </c>
      <c r="BX56">
        <v>140.1</v>
      </c>
      <c r="BY56">
        <v>139.6</v>
      </c>
      <c r="BZ56">
        <v>139.9</v>
      </c>
      <c r="CA56">
        <v>140.4</v>
      </c>
      <c r="CB56">
        <v>142</v>
      </c>
      <c r="CC56">
        <v>142.9</v>
      </c>
      <c r="CD56">
        <v>144.19999999999999</v>
      </c>
      <c r="CE56">
        <v>145</v>
      </c>
      <c r="CF56">
        <v>145.80000000000001</v>
      </c>
      <c r="CG56">
        <v>147.19999999999999</v>
      </c>
      <c r="CH56">
        <v>148.6</v>
      </c>
      <c r="CI56">
        <v>150.4</v>
      </c>
      <c r="CJ56">
        <v>150.19999999999999</v>
      </c>
      <c r="CK56">
        <v>149.1</v>
      </c>
      <c r="CL56">
        <v>148.6</v>
      </c>
      <c r="CM56" t="s">
        <v>32</v>
      </c>
      <c r="CN56" t="s">
        <v>32</v>
      </c>
      <c r="CO56">
        <v>151.80000000000001</v>
      </c>
      <c r="CP56">
        <v>151.80000000000001</v>
      </c>
      <c r="CQ56">
        <v>153.9</v>
      </c>
      <c r="CR56">
        <v>154.69999999999999</v>
      </c>
      <c r="CS56">
        <v>156.4</v>
      </c>
      <c r="CT56">
        <v>158.4</v>
      </c>
      <c r="CU56">
        <v>158.9</v>
      </c>
      <c r="CV56">
        <v>157.30000000000001</v>
      </c>
      <c r="CW56">
        <v>156.6</v>
      </c>
      <c r="CX56">
        <v>156.80000000000001</v>
      </c>
      <c r="CY56">
        <v>157.80000000000001</v>
      </c>
      <c r="CZ56">
        <v>160.4</v>
      </c>
      <c r="DA56">
        <v>161.30000000000001</v>
      </c>
      <c r="DB56">
        <v>162.5</v>
      </c>
      <c r="DC56">
        <v>163.19999999999999</v>
      </c>
      <c r="DD56">
        <v>163.19999999999999</v>
      </c>
      <c r="DE56">
        <v>165.5</v>
      </c>
      <c r="DF56">
        <v>166.7</v>
      </c>
      <c r="DG56">
        <v>166.2</v>
      </c>
      <c r="DH56">
        <v>165.7</v>
      </c>
      <c r="DI56">
        <v>166.1</v>
      </c>
      <c r="DJ56">
        <v>167.7</v>
      </c>
      <c r="DK56">
        <v>170.1</v>
      </c>
      <c r="DL56">
        <v>171.7</v>
      </c>
      <c r="DM56">
        <v>172.6</v>
      </c>
      <c r="DN56">
        <v>173.4</v>
      </c>
      <c r="DO56">
        <v>174.3</v>
      </c>
      <c r="DP56">
        <v>175.3</v>
      </c>
      <c r="DQ56">
        <v>176.7</v>
      </c>
      <c r="DR56">
        <v>176.5</v>
      </c>
      <c r="DS56">
        <v>175.7</v>
      </c>
      <c r="DT56">
        <v>176.5</v>
      </c>
      <c r="DU56">
        <v>177.2</v>
      </c>
      <c r="DV56">
        <v>177.2</v>
      </c>
      <c r="DW56">
        <v>178.1</v>
      </c>
      <c r="DX56">
        <v>179.1</v>
      </c>
    </row>
    <row r="57" spans="1:128" x14ac:dyDescent="0.3">
      <c r="A57" t="s">
        <v>3</v>
      </c>
      <c r="B57" t="s">
        <v>66</v>
      </c>
      <c r="C57" s="10" t="s">
        <v>33</v>
      </c>
      <c r="E57">
        <v>110.5</v>
      </c>
      <c r="F57">
        <v>112.9</v>
      </c>
      <c r="G57">
        <v>113.9</v>
      </c>
      <c r="H57">
        <v>114.6</v>
      </c>
      <c r="I57">
        <v>115.4</v>
      </c>
      <c r="J57">
        <v>117</v>
      </c>
      <c r="K57">
        <v>117.8</v>
      </c>
      <c r="L57">
        <v>118.3</v>
      </c>
      <c r="M57">
        <v>118.6</v>
      </c>
      <c r="N57">
        <v>118.9</v>
      </c>
      <c r="O57">
        <v>119.8</v>
      </c>
      <c r="P57">
        <v>120.5</v>
      </c>
      <c r="Q57">
        <v>121.2</v>
      </c>
      <c r="R57">
        <v>121.9</v>
      </c>
      <c r="S57">
        <v>122.1</v>
      </c>
      <c r="T57">
        <v>122.5</v>
      </c>
      <c r="U57">
        <v>122.7</v>
      </c>
      <c r="V57">
        <v>123.1</v>
      </c>
      <c r="W57">
        <v>123.8</v>
      </c>
      <c r="X57">
        <v>124.8</v>
      </c>
      <c r="Y57">
        <v>124.2</v>
      </c>
      <c r="Z57">
        <v>124.6</v>
      </c>
      <c r="AA57">
        <v>124.5</v>
      </c>
      <c r="AB57">
        <v>124</v>
      </c>
      <c r="AC57">
        <v>124</v>
      </c>
      <c r="AD57">
        <v>124.3</v>
      </c>
      <c r="AE57">
        <v>124</v>
      </c>
      <c r="AF57">
        <v>123.8</v>
      </c>
      <c r="AG57">
        <v>123.8</v>
      </c>
      <c r="AH57">
        <v>123.6</v>
      </c>
      <c r="AI57">
        <v>123.2</v>
      </c>
      <c r="AJ57">
        <v>123.1</v>
      </c>
      <c r="AK57">
        <v>123.4</v>
      </c>
      <c r="AL57">
        <v>123.6</v>
      </c>
      <c r="AM57">
        <v>124</v>
      </c>
      <c r="AN57">
        <v>124.3</v>
      </c>
      <c r="AO57">
        <v>124.7</v>
      </c>
      <c r="AP57">
        <v>124.8</v>
      </c>
      <c r="AQ57">
        <v>124.8</v>
      </c>
      <c r="AR57">
        <v>124.9</v>
      </c>
      <c r="AS57">
        <v>125</v>
      </c>
      <c r="AT57">
        <v>125.9</v>
      </c>
      <c r="AU57">
        <v>126.8</v>
      </c>
      <c r="AV57">
        <v>127.6</v>
      </c>
      <c r="AW57">
        <v>128.1</v>
      </c>
      <c r="AX57">
        <v>128.69999999999999</v>
      </c>
      <c r="AY57">
        <v>130.19999999999999</v>
      </c>
      <c r="AZ57">
        <v>131.6</v>
      </c>
      <c r="BA57">
        <v>132.19999999999999</v>
      </c>
      <c r="BB57">
        <v>132.80000000000001</v>
      </c>
      <c r="BC57">
        <v>132.69999999999999</v>
      </c>
      <c r="BD57">
        <v>132.69999999999999</v>
      </c>
      <c r="BE57">
        <v>132.6</v>
      </c>
      <c r="BF57">
        <v>132.9</v>
      </c>
      <c r="BG57">
        <v>132.80000000000001</v>
      </c>
      <c r="BH57">
        <v>133.19999999999999</v>
      </c>
      <c r="BI57">
        <v>133.6</v>
      </c>
      <c r="BJ57">
        <v>133.9</v>
      </c>
      <c r="BK57">
        <v>134.30000000000001</v>
      </c>
      <c r="BL57">
        <v>134.4</v>
      </c>
      <c r="BM57">
        <v>134.6</v>
      </c>
      <c r="BN57">
        <v>134.80000000000001</v>
      </c>
      <c r="BO57">
        <v>135</v>
      </c>
      <c r="BP57">
        <v>135</v>
      </c>
      <c r="BQ57">
        <v>135</v>
      </c>
      <c r="BR57">
        <v>135.30000000000001</v>
      </c>
      <c r="BS57">
        <v>135.6</v>
      </c>
      <c r="BT57">
        <v>136.5</v>
      </c>
      <c r="BU57">
        <v>137</v>
      </c>
      <c r="BV57">
        <v>137.6</v>
      </c>
      <c r="BW57">
        <v>138.1</v>
      </c>
      <c r="BX57">
        <v>138.5</v>
      </c>
      <c r="BY57">
        <v>138.30000000000001</v>
      </c>
      <c r="BZ57">
        <v>139.4</v>
      </c>
      <c r="CA57">
        <v>139.69999999999999</v>
      </c>
      <c r="CB57">
        <v>140.4</v>
      </c>
      <c r="CC57">
        <v>140.69999999999999</v>
      </c>
      <c r="CD57">
        <v>141.4</v>
      </c>
      <c r="CE57">
        <v>142.1</v>
      </c>
      <c r="CF57">
        <v>142.69999999999999</v>
      </c>
      <c r="CG57">
        <v>143.5</v>
      </c>
      <c r="CH57">
        <v>144.1</v>
      </c>
      <c r="CI57">
        <v>144.9</v>
      </c>
      <c r="CJ57">
        <v>145.6</v>
      </c>
      <c r="CK57">
        <v>146.19999999999999</v>
      </c>
      <c r="CL57">
        <v>146.5</v>
      </c>
      <c r="CM57">
        <v>151.80000000000001</v>
      </c>
      <c r="CN57" t="s">
        <v>32</v>
      </c>
      <c r="CO57">
        <v>152.69999999999999</v>
      </c>
      <c r="CP57">
        <v>152.69999999999999</v>
      </c>
      <c r="CQ57">
        <v>151.6</v>
      </c>
      <c r="CR57">
        <v>151.5</v>
      </c>
      <c r="CS57">
        <v>150.6</v>
      </c>
      <c r="CT57">
        <v>149.69999999999999</v>
      </c>
      <c r="CU57">
        <v>149</v>
      </c>
      <c r="CV57">
        <v>148</v>
      </c>
      <c r="CW57">
        <v>147.6</v>
      </c>
      <c r="CX57">
        <v>147.5</v>
      </c>
      <c r="CY57">
        <v>147.6</v>
      </c>
      <c r="CZ57">
        <v>148.80000000000001</v>
      </c>
      <c r="DA57">
        <v>149.19999999999999</v>
      </c>
      <c r="DB57">
        <v>149.1</v>
      </c>
      <c r="DC57">
        <v>149.30000000000001</v>
      </c>
      <c r="DD57">
        <v>149.30000000000001</v>
      </c>
      <c r="DE57">
        <v>150.1</v>
      </c>
      <c r="DF57">
        <v>151</v>
      </c>
      <c r="DG57">
        <v>151.6</v>
      </c>
      <c r="DH57">
        <v>152.19999999999999</v>
      </c>
      <c r="DI57">
        <v>152.5</v>
      </c>
      <c r="DJ57">
        <v>153.69999999999999</v>
      </c>
      <c r="DK57">
        <v>155.4</v>
      </c>
      <c r="DL57">
        <v>156.69999999999999</v>
      </c>
      <c r="DM57">
        <v>157.5</v>
      </c>
      <c r="DN57">
        <v>159.30000000000001</v>
      </c>
      <c r="DO57">
        <v>162.1</v>
      </c>
      <c r="DP57">
        <v>164.9</v>
      </c>
      <c r="DQ57">
        <v>166.4</v>
      </c>
      <c r="DR57">
        <v>168.4</v>
      </c>
      <c r="DS57">
        <v>170.2</v>
      </c>
      <c r="DT57">
        <v>173.3</v>
      </c>
      <c r="DU57">
        <v>174.7</v>
      </c>
      <c r="DV57">
        <v>174.7</v>
      </c>
      <c r="DW57">
        <v>174.8</v>
      </c>
      <c r="DX57">
        <v>174.7</v>
      </c>
    </row>
    <row r="58" spans="1:128" x14ac:dyDescent="0.3">
      <c r="A58" t="s">
        <v>4</v>
      </c>
      <c r="B58" t="s">
        <v>66</v>
      </c>
      <c r="C58" s="10" t="s">
        <v>33</v>
      </c>
      <c r="E58">
        <v>109.1</v>
      </c>
      <c r="F58">
        <v>112.9</v>
      </c>
      <c r="G58">
        <v>111.4</v>
      </c>
      <c r="H58">
        <v>113.4</v>
      </c>
      <c r="I58">
        <v>114.2</v>
      </c>
      <c r="J58">
        <v>120.1</v>
      </c>
      <c r="K58">
        <v>119.2</v>
      </c>
      <c r="L58">
        <v>120.4</v>
      </c>
      <c r="M58">
        <v>119.1</v>
      </c>
      <c r="N58">
        <v>118.1</v>
      </c>
      <c r="O58">
        <v>116.3</v>
      </c>
      <c r="P58">
        <v>118.1</v>
      </c>
      <c r="Q58">
        <v>122</v>
      </c>
      <c r="R58">
        <v>122</v>
      </c>
      <c r="S58">
        <v>121.4</v>
      </c>
      <c r="T58">
        <v>121.7</v>
      </c>
      <c r="U58">
        <v>124.1</v>
      </c>
      <c r="V58">
        <v>125.9</v>
      </c>
      <c r="W58">
        <v>126.4</v>
      </c>
      <c r="X58">
        <v>127.3</v>
      </c>
      <c r="Y58">
        <v>125.4</v>
      </c>
      <c r="Z58">
        <v>126.1</v>
      </c>
      <c r="AA58">
        <v>125.6</v>
      </c>
      <c r="AB58">
        <v>124.7</v>
      </c>
      <c r="AC58">
        <v>125.5</v>
      </c>
      <c r="AD58">
        <v>126.5</v>
      </c>
      <c r="AE58">
        <v>126.7</v>
      </c>
      <c r="AF58">
        <v>128.19999999999999</v>
      </c>
      <c r="AG58">
        <v>129.69999999999999</v>
      </c>
      <c r="AH58">
        <v>134.4</v>
      </c>
      <c r="AI58">
        <v>134.30000000000001</v>
      </c>
      <c r="AJ58">
        <v>131.69999999999999</v>
      </c>
      <c r="AK58">
        <v>129</v>
      </c>
      <c r="AL58">
        <v>128.6</v>
      </c>
      <c r="AM58">
        <v>129.80000000000001</v>
      </c>
      <c r="AN58">
        <v>131.69999999999999</v>
      </c>
      <c r="AO58">
        <v>135.9</v>
      </c>
      <c r="AP58">
        <v>135.1</v>
      </c>
      <c r="AQ58">
        <v>136.30000000000001</v>
      </c>
      <c r="AR58">
        <v>139.30000000000001</v>
      </c>
      <c r="AS58">
        <v>142.1</v>
      </c>
      <c r="AT58">
        <v>143.9</v>
      </c>
      <c r="AU58">
        <v>144.19999999999999</v>
      </c>
      <c r="AV58">
        <v>140.30000000000001</v>
      </c>
      <c r="AW58">
        <v>137.69999999999999</v>
      </c>
      <c r="AX58">
        <v>138.4</v>
      </c>
      <c r="AY58">
        <v>138.5</v>
      </c>
      <c r="AZ58">
        <v>138.19999999999999</v>
      </c>
      <c r="BA58">
        <v>138.9</v>
      </c>
      <c r="BB58">
        <v>139.80000000000001</v>
      </c>
      <c r="BC58">
        <v>139.4</v>
      </c>
      <c r="BD58">
        <v>140.6</v>
      </c>
      <c r="BE58">
        <v>144.1</v>
      </c>
      <c r="BF58">
        <v>148.69999999999999</v>
      </c>
      <c r="BG58">
        <v>148.4</v>
      </c>
      <c r="BH58">
        <v>143.9</v>
      </c>
      <c r="BI58">
        <v>143</v>
      </c>
      <c r="BJ58">
        <v>142.80000000000001</v>
      </c>
      <c r="BK58">
        <v>142.1</v>
      </c>
      <c r="BL58">
        <v>142.6</v>
      </c>
      <c r="BM58">
        <v>143.69999999999999</v>
      </c>
      <c r="BN58">
        <v>143</v>
      </c>
      <c r="BO58">
        <v>143.1</v>
      </c>
      <c r="BP58">
        <v>144.30000000000001</v>
      </c>
      <c r="BQ58">
        <v>148.19999999999999</v>
      </c>
      <c r="BR58">
        <v>149.69999999999999</v>
      </c>
      <c r="BS58">
        <v>148.6</v>
      </c>
      <c r="BT58">
        <v>146.4</v>
      </c>
      <c r="BU58">
        <v>143.1</v>
      </c>
      <c r="BV58">
        <v>144.9</v>
      </c>
      <c r="BW58">
        <v>146.30000000000001</v>
      </c>
      <c r="BX58">
        <v>147.80000000000001</v>
      </c>
      <c r="BY58">
        <v>149.4</v>
      </c>
      <c r="BZ58">
        <v>150.1</v>
      </c>
      <c r="CA58">
        <v>151.1</v>
      </c>
      <c r="CB58">
        <v>156.69999999999999</v>
      </c>
      <c r="CC58">
        <v>159.6</v>
      </c>
      <c r="CD58">
        <v>160.19999999999999</v>
      </c>
      <c r="CE58">
        <v>158.30000000000001</v>
      </c>
      <c r="CF58">
        <v>158.69999999999999</v>
      </c>
      <c r="CG58">
        <v>159.80000000000001</v>
      </c>
      <c r="CH58">
        <v>162.4</v>
      </c>
      <c r="CI58">
        <v>164.5</v>
      </c>
      <c r="CJ58">
        <v>167.6</v>
      </c>
      <c r="CK58">
        <v>167.6</v>
      </c>
      <c r="CL58">
        <v>167.5</v>
      </c>
      <c r="CM58" t="s">
        <v>32</v>
      </c>
      <c r="CN58" t="s">
        <v>32</v>
      </c>
      <c r="CO58">
        <v>197</v>
      </c>
      <c r="CP58">
        <v>197</v>
      </c>
      <c r="CQ58">
        <v>197.8</v>
      </c>
      <c r="CR58">
        <v>193.1</v>
      </c>
      <c r="CS58">
        <v>193.7</v>
      </c>
      <c r="CT58">
        <v>195.5</v>
      </c>
      <c r="CU58">
        <v>195.7</v>
      </c>
      <c r="CV58">
        <v>194.8</v>
      </c>
      <c r="CW58">
        <v>191.2</v>
      </c>
      <c r="CX58">
        <v>197.5</v>
      </c>
      <c r="CY58">
        <v>202.5</v>
      </c>
      <c r="CZ58">
        <v>204.3</v>
      </c>
      <c r="DA58">
        <v>205.5</v>
      </c>
      <c r="DB58">
        <v>210.9</v>
      </c>
      <c r="DC58">
        <v>207.4</v>
      </c>
      <c r="DD58">
        <v>207.4</v>
      </c>
      <c r="DE58">
        <v>208.4</v>
      </c>
      <c r="DF58">
        <v>204.9</v>
      </c>
      <c r="DG58">
        <v>202.2</v>
      </c>
      <c r="DH58">
        <v>202.1</v>
      </c>
      <c r="DI58">
        <v>205.2</v>
      </c>
      <c r="DJ58">
        <v>215.8</v>
      </c>
      <c r="DK58">
        <v>215.8</v>
      </c>
      <c r="DL58">
        <v>221.2</v>
      </c>
      <c r="DM58">
        <v>223.4</v>
      </c>
      <c r="DN58">
        <v>217.1</v>
      </c>
      <c r="DO58">
        <v>210.9</v>
      </c>
      <c r="DP58">
        <v>213.7</v>
      </c>
      <c r="DQ58">
        <v>214.9</v>
      </c>
      <c r="DR58">
        <v>213.4</v>
      </c>
      <c r="DS58">
        <v>212.9</v>
      </c>
      <c r="DT58">
        <v>215.2</v>
      </c>
      <c r="DU58">
        <v>212.2</v>
      </c>
      <c r="DV58">
        <v>212.2</v>
      </c>
      <c r="DW58">
        <v>213.7</v>
      </c>
      <c r="DX58">
        <v>219.4</v>
      </c>
    </row>
    <row r="59" spans="1:128" x14ac:dyDescent="0.3">
      <c r="A59" t="s">
        <v>5</v>
      </c>
      <c r="B59" t="s">
        <v>66</v>
      </c>
      <c r="C59" s="10" t="s">
        <v>33</v>
      </c>
      <c r="E59">
        <v>113</v>
      </c>
      <c r="F59">
        <v>116.9</v>
      </c>
      <c r="G59">
        <v>113.2</v>
      </c>
      <c r="H59">
        <v>106</v>
      </c>
      <c r="I59">
        <v>102.7</v>
      </c>
      <c r="J59">
        <v>112.5</v>
      </c>
      <c r="K59">
        <v>114</v>
      </c>
      <c r="L59">
        <v>112.7</v>
      </c>
      <c r="M59">
        <v>113.2</v>
      </c>
      <c r="N59">
        <v>114.5</v>
      </c>
      <c r="O59">
        <v>122.6</v>
      </c>
      <c r="P59">
        <v>128.5</v>
      </c>
      <c r="Q59">
        <v>129.9</v>
      </c>
      <c r="R59">
        <v>124.5</v>
      </c>
      <c r="S59">
        <v>121.5</v>
      </c>
      <c r="T59">
        <v>113.3</v>
      </c>
      <c r="U59">
        <v>114.2</v>
      </c>
      <c r="V59">
        <v>115.4</v>
      </c>
      <c r="W59">
        <v>118</v>
      </c>
      <c r="X59">
        <v>116.5</v>
      </c>
      <c r="Y59">
        <v>116.4</v>
      </c>
      <c r="Z59">
        <v>117.8</v>
      </c>
      <c r="AA59">
        <v>122.7</v>
      </c>
      <c r="AB59">
        <v>126.3</v>
      </c>
      <c r="AC59">
        <v>126.6</v>
      </c>
      <c r="AD59">
        <v>119.5</v>
      </c>
      <c r="AE59">
        <v>113.5</v>
      </c>
      <c r="AF59">
        <v>110</v>
      </c>
      <c r="AG59">
        <v>111.3</v>
      </c>
      <c r="AH59">
        <v>120.9</v>
      </c>
      <c r="AI59">
        <v>119.5</v>
      </c>
      <c r="AJ59">
        <v>118.1</v>
      </c>
      <c r="AK59">
        <v>115.6</v>
      </c>
      <c r="AL59">
        <v>115.9</v>
      </c>
      <c r="AM59">
        <v>121.5</v>
      </c>
      <c r="AN59">
        <v>127.1</v>
      </c>
      <c r="AO59">
        <v>132</v>
      </c>
      <c r="AP59">
        <v>130.30000000000001</v>
      </c>
      <c r="AQ59">
        <v>123.7</v>
      </c>
      <c r="AR59">
        <v>119.9</v>
      </c>
      <c r="AS59">
        <v>127</v>
      </c>
      <c r="AT59">
        <v>130.9</v>
      </c>
      <c r="AU59">
        <v>136.6</v>
      </c>
      <c r="AV59">
        <v>133.69999999999999</v>
      </c>
      <c r="AW59">
        <v>130.6</v>
      </c>
      <c r="AX59">
        <v>130.30000000000001</v>
      </c>
      <c r="AY59">
        <v>134.1</v>
      </c>
      <c r="AZ59">
        <v>134.9</v>
      </c>
      <c r="BA59">
        <v>132.6</v>
      </c>
      <c r="BB59">
        <v>129.30000000000001</v>
      </c>
      <c r="BC59">
        <v>128.4</v>
      </c>
      <c r="BD59">
        <v>124.5</v>
      </c>
      <c r="BE59">
        <v>125.6</v>
      </c>
      <c r="BF59">
        <v>128.30000000000001</v>
      </c>
      <c r="BG59">
        <v>129.4</v>
      </c>
      <c r="BH59">
        <v>128.30000000000001</v>
      </c>
      <c r="BI59">
        <v>129.69999999999999</v>
      </c>
      <c r="BJ59">
        <v>131.4</v>
      </c>
      <c r="BK59">
        <v>146.69999999999999</v>
      </c>
      <c r="BL59">
        <v>145.9</v>
      </c>
      <c r="BM59">
        <v>143.6</v>
      </c>
      <c r="BN59">
        <v>139.9</v>
      </c>
      <c r="BO59">
        <v>135.5</v>
      </c>
      <c r="BP59">
        <v>130.80000000000001</v>
      </c>
      <c r="BQ59">
        <v>130.5</v>
      </c>
      <c r="BR59">
        <v>133.9</v>
      </c>
      <c r="BS59">
        <v>139.1</v>
      </c>
      <c r="BT59">
        <v>136.6</v>
      </c>
      <c r="BU59">
        <v>132.80000000000001</v>
      </c>
      <c r="BV59">
        <v>133.5</v>
      </c>
      <c r="BW59">
        <v>137.80000000000001</v>
      </c>
      <c r="BX59">
        <v>141.1</v>
      </c>
      <c r="BY59">
        <v>143.5</v>
      </c>
      <c r="BZ59">
        <v>145.30000000000001</v>
      </c>
      <c r="CA59">
        <v>142.9</v>
      </c>
      <c r="CB59">
        <v>138.30000000000001</v>
      </c>
      <c r="CC59">
        <v>140.4</v>
      </c>
      <c r="CD59">
        <v>142.5</v>
      </c>
      <c r="CE59">
        <v>140.80000000000001</v>
      </c>
      <c r="CF59">
        <v>141.6</v>
      </c>
      <c r="CG59">
        <v>144.69999999999999</v>
      </c>
      <c r="CH59">
        <v>148.4</v>
      </c>
      <c r="CI59">
        <v>153.69999999999999</v>
      </c>
      <c r="CJ59">
        <v>157</v>
      </c>
      <c r="CK59">
        <v>153.1</v>
      </c>
      <c r="CL59">
        <v>148.9</v>
      </c>
      <c r="CM59">
        <v>151.9</v>
      </c>
      <c r="CN59" t="s">
        <v>32</v>
      </c>
      <c r="CO59">
        <v>154.6</v>
      </c>
      <c r="CP59">
        <v>154.6</v>
      </c>
      <c r="CQ59">
        <v>154.5</v>
      </c>
      <c r="CR59">
        <v>157.30000000000001</v>
      </c>
      <c r="CS59">
        <v>164.8</v>
      </c>
      <c r="CT59">
        <v>176.9</v>
      </c>
      <c r="CU59">
        <v>178.3</v>
      </c>
      <c r="CV59">
        <v>178.4</v>
      </c>
      <c r="CW59">
        <v>169.9</v>
      </c>
      <c r="CX59">
        <v>164.7</v>
      </c>
      <c r="CY59">
        <v>166.4</v>
      </c>
      <c r="CZ59">
        <v>173</v>
      </c>
      <c r="DA59">
        <v>182.8</v>
      </c>
      <c r="DB59">
        <v>185</v>
      </c>
      <c r="DC59">
        <v>174.1</v>
      </c>
      <c r="DD59">
        <v>174.1</v>
      </c>
      <c r="DE59">
        <v>173</v>
      </c>
      <c r="DF59">
        <v>175.4</v>
      </c>
      <c r="DG59">
        <v>180</v>
      </c>
      <c r="DH59">
        <v>180.1</v>
      </c>
      <c r="DI59">
        <v>176.4</v>
      </c>
      <c r="DJ59">
        <v>167.7</v>
      </c>
      <c r="DK59">
        <v>164.6</v>
      </c>
      <c r="DL59">
        <v>164.1</v>
      </c>
      <c r="DM59">
        <v>172.8</v>
      </c>
      <c r="DN59">
        <v>176.6</v>
      </c>
      <c r="DO59">
        <v>170.6</v>
      </c>
      <c r="DP59">
        <v>170.9</v>
      </c>
      <c r="DQ59">
        <v>171.9</v>
      </c>
      <c r="DR59">
        <v>183.2</v>
      </c>
      <c r="DS59">
        <v>191.9</v>
      </c>
      <c r="DT59">
        <v>197</v>
      </c>
      <c r="DU59">
        <v>177.2</v>
      </c>
      <c r="DV59">
        <v>177.2</v>
      </c>
      <c r="DW59">
        <v>172.4</v>
      </c>
      <c r="DX59">
        <v>176.7</v>
      </c>
    </row>
    <row r="60" spans="1:128" x14ac:dyDescent="0.3">
      <c r="A60" t="s">
        <v>6</v>
      </c>
      <c r="B60" t="s">
        <v>66</v>
      </c>
      <c r="C60" s="10" t="s">
        <v>33</v>
      </c>
      <c r="E60">
        <v>103.6</v>
      </c>
      <c r="F60">
        <v>104</v>
      </c>
      <c r="G60">
        <v>104.3</v>
      </c>
      <c r="H60">
        <v>104.7</v>
      </c>
      <c r="I60">
        <v>105.5</v>
      </c>
      <c r="J60">
        <v>107.3</v>
      </c>
      <c r="K60">
        <v>108.3</v>
      </c>
      <c r="L60">
        <v>108.9</v>
      </c>
      <c r="M60">
        <v>109.6</v>
      </c>
      <c r="N60">
        <v>110.4</v>
      </c>
      <c r="O60">
        <v>112</v>
      </c>
      <c r="P60">
        <v>112.8</v>
      </c>
      <c r="Q60">
        <v>113.6</v>
      </c>
      <c r="R60">
        <v>115.2</v>
      </c>
      <c r="S60">
        <v>116.2</v>
      </c>
      <c r="T60">
        <v>117</v>
      </c>
      <c r="U60">
        <v>119.1</v>
      </c>
      <c r="V60">
        <v>120.4</v>
      </c>
      <c r="W60">
        <v>121.6</v>
      </c>
      <c r="X60">
        <v>122.2</v>
      </c>
      <c r="Y60">
        <v>122.7</v>
      </c>
      <c r="Z60">
        <v>123.1</v>
      </c>
      <c r="AA60">
        <v>124.6</v>
      </c>
      <c r="AB60">
        <v>124.9</v>
      </c>
      <c r="AC60">
        <v>125.2</v>
      </c>
      <c r="AD60">
        <v>125.6</v>
      </c>
      <c r="AE60">
        <v>125.9</v>
      </c>
      <c r="AF60">
        <v>126.3</v>
      </c>
      <c r="AG60">
        <v>126.6</v>
      </c>
      <c r="AH60">
        <v>127.3</v>
      </c>
      <c r="AI60">
        <v>127.7</v>
      </c>
      <c r="AJ60">
        <v>128</v>
      </c>
      <c r="AK60">
        <v>128.30000000000001</v>
      </c>
      <c r="AL60">
        <v>128.5</v>
      </c>
      <c r="AM60">
        <v>128.6</v>
      </c>
      <c r="AN60">
        <v>128.6</v>
      </c>
      <c r="AO60">
        <v>129.19999999999999</v>
      </c>
      <c r="AP60">
        <v>129.6</v>
      </c>
      <c r="AQ60">
        <v>129.69999999999999</v>
      </c>
      <c r="AR60">
        <v>130.19999999999999</v>
      </c>
      <c r="AS60">
        <v>130.4</v>
      </c>
      <c r="AT60">
        <v>131</v>
      </c>
      <c r="AU60">
        <v>131.80000000000001</v>
      </c>
      <c r="AV60">
        <v>132.19999999999999</v>
      </c>
      <c r="AW60">
        <v>132.6</v>
      </c>
      <c r="AX60">
        <v>132.69999999999999</v>
      </c>
      <c r="AY60">
        <v>132.9</v>
      </c>
      <c r="AZ60">
        <v>133.1</v>
      </c>
      <c r="BA60">
        <v>133.1</v>
      </c>
      <c r="BB60">
        <v>133.5</v>
      </c>
      <c r="BC60">
        <v>134.9</v>
      </c>
      <c r="BD60">
        <v>136.30000000000001</v>
      </c>
      <c r="BE60">
        <v>136.80000000000001</v>
      </c>
      <c r="BF60">
        <v>137.30000000000001</v>
      </c>
      <c r="BG60">
        <v>137.69999999999999</v>
      </c>
      <c r="BH60">
        <v>138.30000000000001</v>
      </c>
      <c r="BI60">
        <v>138.69999999999999</v>
      </c>
      <c r="BJ60">
        <v>139.1</v>
      </c>
      <c r="BK60">
        <v>139.5</v>
      </c>
      <c r="BL60">
        <v>139.5</v>
      </c>
      <c r="BM60">
        <v>139.6</v>
      </c>
      <c r="BN60">
        <v>139.9</v>
      </c>
      <c r="BO60">
        <v>139.9</v>
      </c>
      <c r="BP60">
        <v>140.30000000000001</v>
      </c>
      <c r="BQ60">
        <v>140.69999999999999</v>
      </c>
      <c r="BR60">
        <v>140.80000000000001</v>
      </c>
      <c r="BS60">
        <v>141</v>
      </c>
      <c r="BT60">
        <v>141.19999999999999</v>
      </c>
      <c r="BU60">
        <v>141.5</v>
      </c>
      <c r="BV60">
        <v>141.5</v>
      </c>
      <c r="BW60">
        <v>141.6</v>
      </c>
      <c r="BX60">
        <v>141.6</v>
      </c>
      <c r="BY60">
        <v>141.69999999999999</v>
      </c>
      <c r="BZ60">
        <v>141.69999999999999</v>
      </c>
      <c r="CA60">
        <v>141.9</v>
      </c>
      <c r="CB60">
        <v>142.4</v>
      </c>
      <c r="CC60">
        <v>143.4</v>
      </c>
      <c r="CD60">
        <v>144.1</v>
      </c>
      <c r="CE60">
        <v>144.9</v>
      </c>
      <c r="CF60">
        <v>144.9</v>
      </c>
      <c r="CG60">
        <v>145.6</v>
      </c>
      <c r="CH60">
        <v>145.9</v>
      </c>
      <c r="CI60">
        <v>147.5</v>
      </c>
      <c r="CJ60">
        <v>149.30000000000001</v>
      </c>
      <c r="CK60">
        <v>150.69999999999999</v>
      </c>
      <c r="CL60">
        <v>151.1</v>
      </c>
      <c r="CM60">
        <v>155.5</v>
      </c>
      <c r="CN60" t="s">
        <v>32</v>
      </c>
      <c r="CO60">
        <v>153.4</v>
      </c>
      <c r="CP60">
        <v>153.4</v>
      </c>
      <c r="CQ60">
        <v>153.4</v>
      </c>
      <c r="CR60">
        <v>153.9</v>
      </c>
      <c r="CS60">
        <v>153.69999999999999</v>
      </c>
      <c r="CT60">
        <v>153.9</v>
      </c>
      <c r="CU60">
        <v>154.19999999999999</v>
      </c>
      <c r="CV60">
        <v>154.4</v>
      </c>
      <c r="CW60">
        <v>155.1</v>
      </c>
      <c r="CX60">
        <v>155.6</v>
      </c>
      <c r="CY60">
        <v>156</v>
      </c>
      <c r="CZ60">
        <v>156.5</v>
      </c>
      <c r="DA60">
        <v>156.5</v>
      </c>
      <c r="DB60">
        <v>158.19999999999999</v>
      </c>
      <c r="DC60">
        <v>159.19999999999999</v>
      </c>
      <c r="DD60">
        <v>159.1</v>
      </c>
      <c r="DE60">
        <v>159.19999999999999</v>
      </c>
      <c r="DF60">
        <v>159.6</v>
      </c>
      <c r="DG60">
        <v>160</v>
      </c>
      <c r="DH60">
        <v>160.4</v>
      </c>
      <c r="DI60">
        <v>160.6</v>
      </c>
      <c r="DJ60">
        <v>162.6</v>
      </c>
      <c r="DK60">
        <v>164.2</v>
      </c>
      <c r="DL60">
        <v>165.4</v>
      </c>
      <c r="DM60">
        <v>166.4</v>
      </c>
      <c r="DN60">
        <v>167.1</v>
      </c>
      <c r="DO60">
        <v>168.4</v>
      </c>
      <c r="DP60">
        <v>170.1</v>
      </c>
      <c r="DQ60">
        <v>171</v>
      </c>
      <c r="DR60">
        <v>172.3</v>
      </c>
      <c r="DS60">
        <v>173.9</v>
      </c>
      <c r="DT60">
        <v>175.2</v>
      </c>
      <c r="DU60">
        <v>177.9</v>
      </c>
      <c r="DV60">
        <v>177.9</v>
      </c>
      <c r="DW60">
        <v>178.8</v>
      </c>
      <c r="DX60">
        <v>179.4</v>
      </c>
    </row>
    <row r="61" spans="1:128" x14ac:dyDescent="0.3">
      <c r="A61" t="s">
        <v>7</v>
      </c>
      <c r="B61" t="s">
        <v>66</v>
      </c>
      <c r="C61" s="10" t="s">
        <v>33</v>
      </c>
      <c r="E61">
        <v>103.4</v>
      </c>
      <c r="F61">
        <v>103.5</v>
      </c>
      <c r="G61">
        <v>102.7</v>
      </c>
      <c r="H61">
        <v>102.1</v>
      </c>
      <c r="I61">
        <v>101.5</v>
      </c>
      <c r="J61">
        <v>101.3</v>
      </c>
      <c r="K61">
        <v>101.1</v>
      </c>
      <c r="L61">
        <v>101.1</v>
      </c>
      <c r="M61">
        <v>101.7</v>
      </c>
      <c r="N61">
        <v>102.3</v>
      </c>
      <c r="O61">
        <v>103.2</v>
      </c>
      <c r="P61">
        <v>103.4</v>
      </c>
      <c r="Q61">
        <v>102.9</v>
      </c>
      <c r="R61">
        <v>102.5</v>
      </c>
      <c r="S61">
        <v>102.8</v>
      </c>
      <c r="T61">
        <v>103.1</v>
      </c>
      <c r="U61">
        <v>103.5</v>
      </c>
      <c r="V61">
        <v>103.4</v>
      </c>
      <c r="W61">
        <v>103.5</v>
      </c>
      <c r="X61">
        <v>103.6</v>
      </c>
      <c r="Y61">
        <v>103.5</v>
      </c>
      <c r="Z61">
        <v>103.5</v>
      </c>
      <c r="AA61">
        <v>103.2</v>
      </c>
      <c r="AB61">
        <v>103</v>
      </c>
      <c r="AC61">
        <v>104.3</v>
      </c>
      <c r="AD61">
        <v>104.9</v>
      </c>
      <c r="AE61">
        <v>104.8</v>
      </c>
      <c r="AF61">
        <v>104.5</v>
      </c>
      <c r="AG61">
        <v>105.2</v>
      </c>
      <c r="AH61">
        <v>106</v>
      </c>
      <c r="AI61">
        <v>106.3</v>
      </c>
      <c r="AJ61">
        <v>106.8</v>
      </c>
      <c r="AK61">
        <v>107</v>
      </c>
      <c r="AL61">
        <v>109</v>
      </c>
      <c r="AM61">
        <v>110</v>
      </c>
      <c r="AN61">
        <v>110</v>
      </c>
      <c r="AO61">
        <v>109.7</v>
      </c>
      <c r="AP61">
        <v>108.4</v>
      </c>
      <c r="AQ61">
        <v>107.9</v>
      </c>
      <c r="AR61">
        <v>108.9</v>
      </c>
      <c r="AS61">
        <v>109.6</v>
      </c>
      <c r="AT61">
        <v>110.2</v>
      </c>
      <c r="AU61">
        <v>111</v>
      </c>
      <c r="AV61">
        <v>111.8</v>
      </c>
      <c r="AW61">
        <v>111.9</v>
      </c>
      <c r="AX61">
        <v>112.5</v>
      </c>
      <c r="AY61">
        <v>112.6</v>
      </c>
      <c r="AZ61">
        <v>113.5</v>
      </c>
      <c r="BA61">
        <v>114</v>
      </c>
      <c r="BB61">
        <v>114.3</v>
      </c>
      <c r="BC61">
        <v>114</v>
      </c>
      <c r="BD61">
        <v>113.5</v>
      </c>
      <c r="BE61">
        <v>113.4</v>
      </c>
      <c r="BF61">
        <v>113.5</v>
      </c>
      <c r="BG61">
        <v>113.4</v>
      </c>
      <c r="BH61">
        <v>114.1</v>
      </c>
      <c r="BI61">
        <v>114.5</v>
      </c>
      <c r="BJ61">
        <v>114.9</v>
      </c>
      <c r="BK61">
        <v>115.2</v>
      </c>
      <c r="BL61">
        <v>115.9</v>
      </c>
      <c r="BM61">
        <v>116.4</v>
      </c>
      <c r="BN61">
        <v>116.2</v>
      </c>
      <c r="BO61">
        <v>116.5</v>
      </c>
      <c r="BP61">
        <v>116.6</v>
      </c>
      <c r="BQ61">
        <v>116.4</v>
      </c>
      <c r="BR61">
        <v>116.6</v>
      </c>
      <c r="BS61">
        <v>116.7</v>
      </c>
      <c r="BT61">
        <v>117.4</v>
      </c>
      <c r="BU61">
        <v>117.8</v>
      </c>
      <c r="BV61">
        <v>118</v>
      </c>
      <c r="BW61">
        <v>118.1</v>
      </c>
      <c r="BX61">
        <v>118.1</v>
      </c>
      <c r="BY61">
        <v>118.1</v>
      </c>
      <c r="BZ61">
        <v>118.4</v>
      </c>
      <c r="CA61">
        <v>118.4</v>
      </c>
      <c r="CB61">
        <v>118.6</v>
      </c>
      <c r="CC61">
        <v>118.6</v>
      </c>
      <c r="CD61">
        <v>119.3</v>
      </c>
      <c r="CE61">
        <v>119.9</v>
      </c>
      <c r="CF61">
        <v>120.8</v>
      </c>
      <c r="CG61">
        <v>121.1</v>
      </c>
      <c r="CH61">
        <v>121.5</v>
      </c>
      <c r="CI61">
        <v>122.7</v>
      </c>
      <c r="CJ61">
        <v>126.3</v>
      </c>
      <c r="CK61">
        <v>127.4</v>
      </c>
      <c r="CL61">
        <v>127.5</v>
      </c>
      <c r="CM61">
        <v>131.6</v>
      </c>
      <c r="CN61" t="s">
        <v>32</v>
      </c>
      <c r="CO61">
        <v>132.9</v>
      </c>
      <c r="CP61">
        <v>132.9</v>
      </c>
      <c r="CQ61">
        <v>133.4</v>
      </c>
      <c r="CR61">
        <v>134.4</v>
      </c>
      <c r="CS61">
        <v>135.69999999999999</v>
      </c>
      <c r="CT61">
        <v>138</v>
      </c>
      <c r="CU61">
        <v>140.69999999999999</v>
      </c>
      <c r="CV61">
        <v>144.1</v>
      </c>
      <c r="CW61">
        <v>151.4</v>
      </c>
      <c r="CX61">
        <v>156.4</v>
      </c>
      <c r="CY61">
        <v>161.4</v>
      </c>
      <c r="CZ61">
        <v>168.8</v>
      </c>
      <c r="DA61">
        <v>172.2</v>
      </c>
      <c r="DB61">
        <v>170.6</v>
      </c>
      <c r="DC61">
        <v>175</v>
      </c>
      <c r="DD61">
        <v>175</v>
      </c>
      <c r="DE61">
        <v>176.6</v>
      </c>
      <c r="DF61">
        <v>175.8</v>
      </c>
      <c r="DG61">
        <v>173.5</v>
      </c>
      <c r="DH61">
        <v>171</v>
      </c>
      <c r="DI61">
        <v>171.5</v>
      </c>
      <c r="DJ61">
        <v>180</v>
      </c>
      <c r="DK61">
        <v>186</v>
      </c>
      <c r="DL61">
        <v>189.5</v>
      </c>
      <c r="DM61">
        <v>188.6</v>
      </c>
      <c r="DN61">
        <v>184.8</v>
      </c>
      <c r="DO61">
        <v>182.5</v>
      </c>
      <c r="DP61">
        <v>179.3</v>
      </c>
      <c r="DQ61">
        <v>177.7</v>
      </c>
      <c r="DR61">
        <v>180</v>
      </c>
      <c r="DS61">
        <v>179.1</v>
      </c>
      <c r="DT61">
        <v>178</v>
      </c>
      <c r="DU61">
        <v>172.2</v>
      </c>
      <c r="DV61">
        <v>172.2</v>
      </c>
      <c r="DW61">
        <v>168.7</v>
      </c>
      <c r="DX61">
        <v>164.4</v>
      </c>
    </row>
    <row r="62" spans="1:128" x14ac:dyDescent="0.3">
      <c r="A62" t="s">
        <v>8</v>
      </c>
      <c r="B62" t="s">
        <v>66</v>
      </c>
      <c r="C62" s="10" t="s">
        <v>33</v>
      </c>
      <c r="E62">
        <v>102.3</v>
      </c>
      <c r="F62">
        <v>103.1</v>
      </c>
      <c r="G62">
        <v>104.9</v>
      </c>
      <c r="H62">
        <v>109.5</v>
      </c>
      <c r="I62">
        <v>110.6</v>
      </c>
      <c r="J62">
        <v>112.4</v>
      </c>
      <c r="K62">
        <v>113.2</v>
      </c>
      <c r="L62">
        <v>108.7</v>
      </c>
      <c r="M62">
        <v>103.2</v>
      </c>
      <c r="N62">
        <v>106.2</v>
      </c>
      <c r="O62">
        <v>110</v>
      </c>
      <c r="P62">
        <v>110.7</v>
      </c>
      <c r="Q62">
        <v>112.1</v>
      </c>
      <c r="R62">
        <v>114.1</v>
      </c>
      <c r="S62">
        <v>117.7</v>
      </c>
      <c r="T62">
        <v>126.7</v>
      </c>
      <c r="U62">
        <v>129.19999999999999</v>
      </c>
      <c r="V62">
        <v>131.19999999999999</v>
      </c>
      <c r="W62">
        <v>133.69999999999999</v>
      </c>
      <c r="X62">
        <v>132.69999999999999</v>
      </c>
      <c r="Y62">
        <v>124.5</v>
      </c>
      <c r="Z62">
        <v>123.5</v>
      </c>
      <c r="AA62">
        <v>122.2</v>
      </c>
      <c r="AB62">
        <v>122.3</v>
      </c>
      <c r="AC62">
        <v>121.3</v>
      </c>
      <c r="AD62">
        <v>121.6</v>
      </c>
      <c r="AE62">
        <v>123.8</v>
      </c>
      <c r="AF62">
        <v>130.6</v>
      </c>
      <c r="AG62">
        <v>130.80000000000001</v>
      </c>
      <c r="AH62">
        <v>132.30000000000001</v>
      </c>
      <c r="AI62">
        <v>132.80000000000001</v>
      </c>
      <c r="AJ62">
        <v>130.1</v>
      </c>
      <c r="AK62">
        <v>124</v>
      </c>
      <c r="AL62">
        <v>124.1</v>
      </c>
      <c r="AM62">
        <v>123.7</v>
      </c>
      <c r="AN62">
        <v>120.8</v>
      </c>
      <c r="AO62">
        <v>119</v>
      </c>
      <c r="AP62">
        <v>118.6</v>
      </c>
      <c r="AQ62">
        <v>119.9</v>
      </c>
      <c r="AR62">
        <v>131.1</v>
      </c>
      <c r="AS62">
        <v>133.5</v>
      </c>
      <c r="AT62">
        <v>135.5</v>
      </c>
      <c r="AU62">
        <v>137</v>
      </c>
      <c r="AV62">
        <v>135.80000000000001</v>
      </c>
      <c r="AW62">
        <v>132.5</v>
      </c>
      <c r="AX62">
        <v>130.4</v>
      </c>
      <c r="AY62">
        <v>130.80000000000001</v>
      </c>
      <c r="AZ62">
        <v>129.30000000000001</v>
      </c>
      <c r="BA62">
        <v>129.6</v>
      </c>
      <c r="BB62">
        <v>131.4</v>
      </c>
      <c r="BC62">
        <v>136.80000000000001</v>
      </c>
      <c r="BD62">
        <v>137.69999999999999</v>
      </c>
      <c r="BE62">
        <v>135.19999999999999</v>
      </c>
      <c r="BF62">
        <v>137.19999999999999</v>
      </c>
      <c r="BG62">
        <v>139.4</v>
      </c>
      <c r="BH62">
        <v>142.69999999999999</v>
      </c>
      <c r="BI62">
        <v>137.5</v>
      </c>
      <c r="BJ62">
        <v>135.6</v>
      </c>
      <c r="BK62">
        <v>136.4</v>
      </c>
      <c r="BL62">
        <v>135</v>
      </c>
      <c r="BM62">
        <v>133.80000000000001</v>
      </c>
      <c r="BN62">
        <v>135.5</v>
      </c>
      <c r="BO62">
        <v>138.5</v>
      </c>
      <c r="BP62">
        <v>150.1</v>
      </c>
      <c r="BQ62">
        <v>151.30000000000001</v>
      </c>
      <c r="BR62">
        <v>152.19999999999999</v>
      </c>
      <c r="BS62">
        <v>149.69999999999999</v>
      </c>
      <c r="BT62">
        <v>146.30000000000001</v>
      </c>
      <c r="BU62">
        <v>140</v>
      </c>
      <c r="BV62">
        <v>139.5</v>
      </c>
      <c r="BW62">
        <v>141.5</v>
      </c>
      <c r="BX62">
        <v>138.5</v>
      </c>
      <c r="BY62">
        <v>135.19999999999999</v>
      </c>
      <c r="BZ62">
        <v>137</v>
      </c>
      <c r="CA62">
        <v>139.4</v>
      </c>
      <c r="CB62">
        <v>149.69999999999999</v>
      </c>
      <c r="CC62">
        <v>150.9</v>
      </c>
      <c r="CD62">
        <v>154.69999999999999</v>
      </c>
      <c r="CE62">
        <v>153.9</v>
      </c>
      <c r="CF62">
        <v>149.80000000000001</v>
      </c>
      <c r="CG62">
        <v>150.6</v>
      </c>
      <c r="CH62">
        <v>148.80000000000001</v>
      </c>
      <c r="CI62">
        <v>147.19999999999999</v>
      </c>
      <c r="CJ62">
        <v>144.4</v>
      </c>
      <c r="CK62">
        <v>143.1</v>
      </c>
      <c r="CL62">
        <v>143.30000000000001</v>
      </c>
      <c r="CM62">
        <v>152.9</v>
      </c>
      <c r="CN62" t="s">
        <v>32</v>
      </c>
      <c r="CO62">
        <v>151.80000000000001</v>
      </c>
      <c r="CP62">
        <v>151.80000000000001</v>
      </c>
      <c r="CQ62">
        <v>154.5</v>
      </c>
      <c r="CR62">
        <v>155.4</v>
      </c>
      <c r="CS62">
        <v>155.69999999999999</v>
      </c>
      <c r="CT62">
        <v>150.5</v>
      </c>
      <c r="CU62">
        <v>149.69999999999999</v>
      </c>
      <c r="CV62">
        <v>152.6</v>
      </c>
      <c r="CW62">
        <v>154</v>
      </c>
      <c r="CX62">
        <v>157.30000000000001</v>
      </c>
      <c r="CY62">
        <v>168.8</v>
      </c>
      <c r="CZ62">
        <v>172.5</v>
      </c>
      <c r="DA62">
        <v>171.5</v>
      </c>
      <c r="DB62">
        <v>170.9</v>
      </c>
      <c r="DC62">
        <v>161.30000000000001</v>
      </c>
      <c r="DD62">
        <v>161.19999999999999</v>
      </c>
      <c r="DE62">
        <v>159.30000000000001</v>
      </c>
      <c r="DF62">
        <v>160.30000000000001</v>
      </c>
      <c r="DG62">
        <v>158.30000000000001</v>
      </c>
      <c r="DH62">
        <v>156.5</v>
      </c>
      <c r="DI62">
        <v>156.4</v>
      </c>
      <c r="DJ62">
        <v>159.6</v>
      </c>
      <c r="DK62">
        <v>175.9</v>
      </c>
      <c r="DL62">
        <v>174.5</v>
      </c>
      <c r="DM62">
        <v>174.1</v>
      </c>
      <c r="DN62">
        <v>179.5</v>
      </c>
      <c r="DO62">
        <v>177.1</v>
      </c>
      <c r="DP62">
        <v>167.5</v>
      </c>
      <c r="DQ62">
        <v>165.7</v>
      </c>
      <c r="DR62">
        <v>162.6</v>
      </c>
      <c r="DS62">
        <v>159.5</v>
      </c>
      <c r="DT62">
        <v>160.5</v>
      </c>
      <c r="DU62">
        <v>172.1</v>
      </c>
      <c r="DV62">
        <v>172.1</v>
      </c>
      <c r="DW62">
        <v>179.2</v>
      </c>
      <c r="DX62">
        <v>175.8</v>
      </c>
    </row>
    <row r="63" spans="1:128" x14ac:dyDescent="0.3">
      <c r="A63" t="s">
        <v>9</v>
      </c>
      <c r="B63" t="s">
        <v>66</v>
      </c>
      <c r="C63" s="10" t="s">
        <v>33</v>
      </c>
      <c r="E63">
        <v>102.9</v>
      </c>
      <c r="F63">
        <v>104.9</v>
      </c>
      <c r="G63">
        <v>103.8</v>
      </c>
      <c r="H63">
        <v>109.7</v>
      </c>
      <c r="I63">
        <v>123.7</v>
      </c>
      <c r="J63">
        <v>143.6</v>
      </c>
      <c r="K63">
        <v>160.9</v>
      </c>
      <c r="L63">
        <v>177</v>
      </c>
      <c r="M63">
        <v>174.3</v>
      </c>
      <c r="N63">
        <v>183.5</v>
      </c>
      <c r="O63">
        <v>192.8</v>
      </c>
      <c r="P63">
        <v>144.80000000000001</v>
      </c>
      <c r="Q63">
        <v>118.9</v>
      </c>
      <c r="R63">
        <v>111.5</v>
      </c>
      <c r="S63">
        <v>113.3</v>
      </c>
      <c r="T63">
        <v>121.2</v>
      </c>
      <c r="U63">
        <v>127</v>
      </c>
      <c r="V63">
        <v>137.5</v>
      </c>
      <c r="W63">
        <v>172.4</v>
      </c>
      <c r="X63">
        <v>181.9</v>
      </c>
      <c r="Y63">
        <v>168.6</v>
      </c>
      <c r="Z63">
        <v>159.6</v>
      </c>
      <c r="AA63">
        <v>153.19999999999999</v>
      </c>
      <c r="AB63">
        <v>141</v>
      </c>
      <c r="AC63">
        <v>134.4</v>
      </c>
      <c r="AD63">
        <v>131.80000000000001</v>
      </c>
      <c r="AE63">
        <v>131.4</v>
      </c>
      <c r="AF63">
        <v>130.80000000000001</v>
      </c>
      <c r="AG63">
        <v>135.6</v>
      </c>
      <c r="AH63">
        <v>146.69999999999999</v>
      </c>
      <c r="AI63">
        <v>153.5</v>
      </c>
      <c r="AJ63">
        <v>165.5</v>
      </c>
      <c r="AK63">
        <v>168.5</v>
      </c>
      <c r="AL63">
        <v>165.8</v>
      </c>
      <c r="AM63">
        <v>164.6</v>
      </c>
      <c r="AN63">
        <v>149</v>
      </c>
      <c r="AO63">
        <v>144.1</v>
      </c>
      <c r="AP63">
        <v>129.19999999999999</v>
      </c>
      <c r="AQ63">
        <v>128.1</v>
      </c>
      <c r="AR63">
        <v>136.80000000000001</v>
      </c>
      <c r="AS63">
        <v>151.4</v>
      </c>
      <c r="AT63">
        <v>173.7</v>
      </c>
      <c r="AU63">
        <v>179.5</v>
      </c>
      <c r="AV63">
        <v>163.5</v>
      </c>
      <c r="AW63">
        <v>152.9</v>
      </c>
      <c r="AX63">
        <v>155.1</v>
      </c>
      <c r="AY63">
        <v>142</v>
      </c>
      <c r="AZ63">
        <v>121.1</v>
      </c>
      <c r="BA63">
        <v>118.7</v>
      </c>
      <c r="BB63">
        <v>120.2</v>
      </c>
      <c r="BC63">
        <v>122.2</v>
      </c>
      <c r="BD63">
        <v>127.1</v>
      </c>
      <c r="BE63">
        <v>129.19999999999999</v>
      </c>
      <c r="BF63">
        <v>142.19999999999999</v>
      </c>
      <c r="BG63">
        <v>175.1</v>
      </c>
      <c r="BH63">
        <v>179.8</v>
      </c>
      <c r="BI63">
        <v>160.69999999999999</v>
      </c>
      <c r="BJ63">
        <v>173.2</v>
      </c>
      <c r="BK63">
        <v>185.2</v>
      </c>
      <c r="BL63">
        <v>163.19999999999999</v>
      </c>
      <c r="BM63">
        <v>150.5</v>
      </c>
      <c r="BN63">
        <v>136.9</v>
      </c>
      <c r="BO63">
        <v>128</v>
      </c>
      <c r="BP63">
        <v>127.6</v>
      </c>
      <c r="BQ63">
        <v>131.4</v>
      </c>
      <c r="BR63">
        <v>144</v>
      </c>
      <c r="BS63">
        <v>159.19999999999999</v>
      </c>
      <c r="BT63">
        <v>157.30000000000001</v>
      </c>
      <c r="BU63">
        <v>151.30000000000001</v>
      </c>
      <c r="BV63">
        <v>153</v>
      </c>
      <c r="BW63">
        <v>145.19999999999999</v>
      </c>
      <c r="BX63">
        <v>132.4</v>
      </c>
      <c r="BY63">
        <v>130.5</v>
      </c>
      <c r="BZ63">
        <v>131.6</v>
      </c>
      <c r="CA63">
        <v>141.19999999999999</v>
      </c>
      <c r="CB63">
        <v>161.6</v>
      </c>
      <c r="CC63">
        <v>169.8</v>
      </c>
      <c r="CD63">
        <v>180.1</v>
      </c>
      <c r="CE63">
        <v>189.1</v>
      </c>
      <c r="CF63">
        <v>192.4</v>
      </c>
      <c r="CG63">
        <v>207.2</v>
      </c>
      <c r="CH63">
        <v>215.7</v>
      </c>
      <c r="CI63">
        <v>231.5</v>
      </c>
      <c r="CJ63">
        <v>207.8</v>
      </c>
      <c r="CK63">
        <v>181.7</v>
      </c>
      <c r="CL63">
        <v>167</v>
      </c>
      <c r="CM63">
        <v>180</v>
      </c>
      <c r="CN63" t="s">
        <v>32</v>
      </c>
      <c r="CO63">
        <v>171.2</v>
      </c>
      <c r="CP63">
        <v>171.2</v>
      </c>
      <c r="CQ63">
        <v>191.9</v>
      </c>
      <c r="CR63">
        <v>202</v>
      </c>
      <c r="CS63">
        <v>226</v>
      </c>
      <c r="CT63">
        <v>245.3</v>
      </c>
      <c r="CU63">
        <v>240.9</v>
      </c>
      <c r="CV63">
        <v>206.8</v>
      </c>
      <c r="CW63">
        <v>180.2</v>
      </c>
      <c r="CX63">
        <v>166.1</v>
      </c>
      <c r="CY63">
        <v>161.6</v>
      </c>
      <c r="CZ63">
        <v>166.5</v>
      </c>
      <c r="DA63">
        <v>176.2</v>
      </c>
      <c r="DB63">
        <v>186.4</v>
      </c>
      <c r="DC63">
        <v>183.3</v>
      </c>
      <c r="DD63">
        <v>183.5</v>
      </c>
      <c r="DE63">
        <v>214.4</v>
      </c>
      <c r="DF63">
        <v>229.1</v>
      </c>
      <c r="DG63">
        <v>219.5</v>
      </c>
      <c r="DH63">
        <v>203.6</v>
      </c>
      <c r="DI63">
        <v>198</v>
      </c>
      <c r="DJ63">
        <v>188.4</v>
      </c>
      <c r="DK63">
        <v>190.7</v>
      </c>
      <c r="DL63">
        <v>203.2</v>
      </c>
      <c r="DM63">
        <v>211.5</v>
      </c>
      <c r="DN63">
        <v>208.5</v>
      </c>
      <c r="DO63">
        <v>213.1</v>
      </c>
      <c r="DP63">
        <v>220.8</v>
      </c>
      <c r="DQ63">
        <v>228.6</v>
      </c>
      <c r="DR63">
        <v>205.5</v>
      </c>
      <c r="DS63">
        <v>178.7</v>
      </c>
      <c r="DT63">
        <v>175.3</v>
      </c>
      <c r="DU63">
        <v>175.8</v>
      </c>
      <c r="DV63">
        <v>175.9</v>
      </c>
      <c r="DW63">
        <v>179.9</v>
      </c>
      <c r="DX63">
        <v>185</v>
      </c>
    </row>
    <row r="64" spans="1:128" x14ac:dyDescent="0.3">
      <c r="A64" t="s">
        <v>10</v>
      </c>
      <c r="B64" t="s">
        <v>66</v>
      </c>
      <c r="C64" s="10" t="s">
        <v>33</v>
      </c>
      <c r="E64">
        <v>105.8</v>
      </c>
      <c r="F64">
        <v>104.1</v>
      </c>
      <c r="G64">
        <v>103.5</v>
      </c>
      <c r="H64">
        <v>104.6</v>
      </c>
      <c r="I64">
        <v>105.2</v>
      </c>
      <c r="J64">
        <v>105.4</v>
      </c>
      <c r="K64">
        <v>105.1</v>
      </c>
      <c r="L64">
        <v>104.7</v>
      </c>
      <c r="M64">
        <v>105.1</v>
      </c>
      <c r="N64">
        <v>105.3</v>
      </c>
      <c r="O64">
        <v>106.3</v>
      </c>
      <c r="P64">
        <v>107.1</v>
      </c>
      <c r="Q64">
        <v>107.5</v>
      </c>
      <c r="R64">
        <v>108.2</v>
      </c>
      <c r="S64">
        <v>108.9</v>
      </c>
      <c r="T64">
        <v>111</v>
      </c>
      <c r="U64">
        <v>112.6</v>
      </c>
      <c r="V64">
        <v>112.8</v>
      </c>
      <c r="W64">
        <v>113.1</v>
      </c>
      <c r="X64">
        <v>115.2</v>
      </c>
      <c r="Y64">
        <v>116.9</v>
      </c>
      <c r="Z64">
        <v>117.4</v>
      </c>
      <c r="AA64">
        <v>119.3</v>
      </c>
      <c r="AB64">
        <v>120.1</v>
      </c>
      <c r="AC64">
        <v>122.9</v>
      </c>
      <c r="AD64">
        <v>125.1</v>
      </c>
      <c r="AE64">
        <v>127.2</v>
      </c>
      <c r="AF64">
        <v>131.30000000000001</v>
      </c>
      <c r="AG64">
        <v>142.6</v>
      </c>
      <c r="AH64">
        <v>148.1</v>
      </c>
      <c r="AI64">
        <v>149.5</v>
      </c>
      <c r="AJ64">
        <v>156</v>
      </c>
      <c r="AK64">
        <v>165.4</v>
      </c>
      <c r="AL64">
        <v>187.2</v>
      </c>
      <c r="AM64">
        <v>191.6</v>
      </c>
      <c r="AN64">
        <v>190.1</v>
      </c>
      <c r="AO64">
        <v>184.2</v>
      </c>
      <c r="AP64">
        <v>176.4</v>
      </c>
      <c r="AQ64">
        <v>170.3</v>
      </c>
      <c r="AR64">
        <v>176.9</v>
      </c>
      <c r="AS64">
        <v>182.8</v>
      </c>
      <c r="AT64">
        <v>184.4</v>
      </c>
      <c r="AU64">
        <v>188.4</v>
      </c>
      <c r="AV64">
        <v>182.3</v>
      </c>
      <c r="AW64">
        <v>173.6</v>
      </c>
      <c r="AX64">
        <v>175.7</v>
      </c>
      <c r="AY64">
        <v>174.9</v>
      </c>
      <c r="AZ64">
        <v>170.3</v>
      </c>
      <c r="BA64">
        <v>155.1</v>
      </c>
      <c r="BB64">
        <v>143.1</v>
      </c>
      <c r="BC64">
        <v>135.80000000000001</v>
      </c>
      <c r="BD64">
        <v>133.80000000000001</v>
      </c>
      <c r="BE64">
        <v>131.5</v>
      </c>
      <c r="BF64">
        <v>128.19999999999999</v>
      </c>
      <c r="BG64">
        <v>124.7</v>
      </c>
      <c r="BH64">
        <v>123.5</v>
      </c>
      <c r="BI64">
        <v>124.5</v>
      </c>
      <c r="BJ64">
        <v>124.1</v>
      </c>
      <c r="BK64">
        <v>122.2</v>
      </c>
      <c r="BL64">
        <v>119.8</v>
      </c>
      <c r="BM64">
        <v>118.4</v>
      </c>
      <c r="BN64">
        <v>117</v>
      </c>
      <c r="BO64">
        <v>115.5</v>
      </c>
      <c r="BP64">
        <v>114</v>
      </c>
      <c r="BQ64">
        <v>112.8</v>
      </c>
      <c r="BR64">
        <v>112.3</v>
      </c>
      <c r="BS64">
        <v>112.6</v>
      </c>
      <c r="BT64">
        <v>113.6</v>
      </c>
      <c r="BU64">
        <v>113.5</v>
      </c>
      <c r="BV64">
        <v>113.2</v>
      </c>
      <c r="BW64">
        <v>115.3</v>
      </c>
      <c r="BX64">
        <v>117.5</v>
      </c>
      <c r="BY64">
        <v>118.2</v>
      </c>
      <c r="BZ64">
        <v>119.9</v>
      </c>
      <c r="CA64">
        <v>120.7</v>
      </c>
      <c r="CB64">
        <v>124.4</v>
      </c>
      <c r="CC64">
        <v>127.4</v>
      </c>
      <c r="CD64">
        <v>128.9</v>
      </c>
      <c r="CE64">
        <v>129.80000000000001</v>
      </c>
      <c r="CF64">
        <v>130.30000000000001</v>
      </c>
      <c r="CG64">
        <v>131.19999999999999</v>
      </c>
      <c r="CH64">
        <v>134.6</v>
      </c>
      <c r="CI64">
        <v>137.19999999999999</v>
      </c>
      <c r="CJ64">
        <v>139.1</v>
      </c>
      <c r="CK64">
        <v>139.6</v>
      </c>
      <c r="CL64">
        <v>139.69999999999999</v>
      </c>
      <c r="CM64">
        <v>150.80000000000001</v>
      </c>
      <c r="CN64" t="s">
        <v>32</v>
      </c>
      <c r="CO64">
        <v>152</v>
      </c>
      <c r="CP64">
        <v>152</v>
      </c>
      <c r="CQ64">
        <v>151.30000000000001</v>
      </c>
      <c r="CR64">
        <v>150.80000000000001</v>
      </c>
      <c r="CS64">
        <v>152.19999999999999</v>
      </c>
      <c r="CT64">
        <v>158.69999999999999</v>
      </c>
      <c r="CU64">
        <v>161.5</v>
      </c>
      <c r="CV64">
        <v>162.1</v>
      </c>
      <c r="CW64">
        <v>159.80000000000001</v>
      </c>
      <c r="CX64">
        <v>161.1</v>
      </c>
      <c r="CY64">
        <v>162.80000000000001</v>
      </c>
      <c r="CZ64">
        <v>165.9</v>
      </c>
      <c r="DA64">
        <v>166.9</v>
      </c>
      <c r="DB64">
        <v>164.7</v>
      </c>
      <c r="DC64">
        <v>164.5</v>
      </c>
      <c r="DD64">
        <v>164.5</v>
      </c>
      <c r="DE64">
        <v>165.3</v>
      </c>
      <c r="DF64">
        <v>165.1</v>
      </c>
      <c r="DG64">
        <v>164.2</v>
      </c>
      <c r="DH64">
        <v>163.80000000000001</v>
      </c>
      <c r="DI64">
        <v>163.19999999999999</v>
      </c>
      <c r="DJ64">
        <v>163.4</v>
      </c>
      <c r="DK64">
        <v>164</v>
      </c>
      <c r="DL64">
        <v>164.1</v>
      </c>
      <c r="DM64">
        <v>163.6</v>
      </c>
      <c r="DN64">
        <v>164</v>
      </c>
      <c r="DO64">
        <v>167.3</v>
      </c>
      <c r="DP64">
        <v>169.2</v>
      </c>
      <c r="DQ64">
        <v>169.9</v>
      </c>
      <c r="DR64">
        <v>171</v>
      </c>
      <c r="DS64">
        <v>171.3</v>
      </c>
      <c r="DT64">
        <v>171.2</v>
      </c>
      <c r="DU64">
        <v>172.2</v>
      </c>
      <c r="DV64">
        <v>172.2</v>
      </c>
      <c r="DW64">
        <v>174.7</v>
      </c>
      <c r="DX64">
        <v>176.9</v>
      </c>
    </row>
    <row r="65" spans="1:128" x14ac:dyDescent="0.3">
      <c r="A65" t="s">
        <v>11</v>
      </c>
      <c r="B65" t="s">
        <v>66</v>
      </c>
      <c r="C65" s="10" t="s">
        <v>33</v>
      </c>
      <c r="E65">
        <v>105.1</v>
      </c>
      <c r="F65">
        <v>103.8</v>
      </c>
      <c r="G65">
        <v>102.6</v>
      </c>
      <c r="H65">
        <v>102</v>
      </c>
      <c r="I65">
        <v>101.9</v>
      </c>
      <c r="J65">
        <v>101.4</v>
      </c>
      <c r="K65">
        <v>101.3</v>
      </c>
      <c r="L65">
        <v>101</v>
      </c>
      <c r="M65">
        <v>100.8</v>
      </c>
      <c r="N65">
        <v>100.2</v>
      </c>
      <c r="O65">
        <v>99.5</v>
      </c>
      <c r="P65">
        <v>98.6</v>
      </c>
      <c r="Q65">
        <v>96.9</v>
      </c>
      <c r="R65">
        <v>95.4</v>
      </c>
      <c r="S65">
        <v>96.3</v>
      </c>
      <c r="T65">
        <v>100.3</v>
      </c>
      <c r="U65">
        <v>101.3</v>
      </c>
      <c r="V65">
        <v>101.4</v>
      </c>
      <c r="W65">
        <v>102.7</v>
      </c>
      <c r="X65">
        <v>102.7</v>
      </c>
      <c r="Y65">
        <v>101.9</v>
      </c>
      <c r="Z65">
        <v>101.2</v>
      </c>
      <c r="AA65">
        <v>99.8</v>
      </c>
      <c r="AB65">
        <v>97.8</v>
      </c>
      <c r="AC65">
        <v>96.1</v>
      </c>
      <c r="AD65">
        <v>95</v>
      </c>
      <c r="AE65">
        <v>93.2</v>
      </c>
      <c r="AF65">
        <v>91.6</v>
      </c>
      <c r="AG65">
        <v>90.8</v>
      </c>
      <c r="AH65">
        <v>89.8</v>
      </c>
      <c r="AI65">
        <v>85.7</v>
      </c>
      <c r="AJ65">
        <v>85.3</v>
      </c>
      <c r="AK65">
        <v>86.3</v>
      </c>
      <c r="AL65">
        <v>89.4</v>
      </c>
      <c r="AM65">
        <v>90.8</v>
      </c>
      <c r="AN65">
        <v>92.7</v>
      </c>
      <c r="AO65">
        <v>96.7</v>
      </c>
      <c r="AP65">
        <v>99.1</v>
      </c>
      <c r="AQ65">
        <v>101.8</v>
      </c>
      <c r="AR65">
        <v>109.1</v>
      </c>
      <c r="AS65">
        <v>111.1</v>
      </c>
      <c r="AT65">
        <v>112</v>
      </c>
      <c r="AU65">
        <v>113.3</v>
      </c>
      <c r="AV65">
        <v>114.6</v>
      </c>
      <c r="AW65">
        <v>115.1</v>
      </c>
      <c r="AX65">
        <v>115.4</v>
      </c>
      <c r="AY65">
        <v>115.6</v>
      </c>
      <c r="AZ65">
        <v>115.5</v>
      </c>
      <c r="BA65">
        <v>117.3</v>
      </c>
      <c r="BB65">
        <v>119.5</v>
      </c>
      <c r="BC65">
        <v>120.3</v>
      </c>
      <c r="BD65">
        <v>120.8</v>
      </c>
      <c r="BE65">
        <v>121</v>
      </c>
      <c r="BF65">
        <v>120.9</v>
      </c>
      <c r="BG65">
        <v>121.5</v>
      </c>
      <c r="BH65">
        <v>122.1</v>
      </c>
      <c r="BI65">
        <v>122.4</v>
      </c>
      <c r="BJ65">
        <v>122.6</v>
      </c>
      <c r="BK65">
        <v>123.9</v>
      </c>
      <c r="BL65">
        <v>120.7</v>
      </c>
      <c r="BM65">
        <v>117.3</v>
      </c>
      <c r="BN65">
        <v>115.4</v>
      </c>
      <c r="BO65">
        <v>114.2</v>
      </c>
      <c r="BP65">
        <v>110.6</v>
      </c>
      <c r="BQ65">
        <v>105.3</v>
      </c>
      <c r="BR65">
        <v>108.4</v>
      </c>
      <c r="BS65">
        <v>111.8</v>
      </c>
      <c r="BT65">
        <v>113.3</v>
      </c>
      <c r="BU65">
        <v>112.3</v>
      </c>
      <c r="BV65">
        <v>112.8</v>
      </c>
      <c r="BW65">
        <v>112.5</v>
      </c>
      <c r="BX65">
        <v>111</v>
      </c>
      <c r="BY65">
        <v>110.4</v>
      </c>
      <c r="BZ65">
        <v>110.4</v>
      </c>
      <c r="CA65">
        <v>110.4</v>
      </c>
      <c r="CB65">
        <v>111.2</v>
      </c>
      <c r="CC65">
        <v>111.8</v>
      </c>
      <c r="CD65">
        <v>111.8</v>
      </c>
      <c r="CE65">
        <v>112.7</v>
      </c>
      <c r="CF65">
        <v>114</v>
      </c>
      <c r="CG65">
        <v>114.8</v>
      </c>
      <c r="CH65">
        <v>115</v>
      </c>
      <c r="CI65">
        <v>114.7</v>
      </c>
      <c r="CJ65">
        <v>114.8</v>
      </c>
      <c r="CK65">
        <v>114.6</v>
      </c>
      <c r="CL65">
        <v>114.4</v>
      </c>
      <c r="CM65">
        <v>121.2</v>
      </c>
      <c r="CN65" t="s">
        <v>32</v>
      </c>
      <c r="CO65">
        <v>116.3</v>
      </c>
      <c r="CP65">
        <v>116.3</v>
      </c>
      <c r="CQ65">
        <v>116.8</v>
      </c>
      <c r="CR65">
        <v>118.9</v>
      </c>
      <c r="CS65">
        <v>118.1</v>
      </c>
      <c r="CT65">
        <v>117.2</v>
      </c>
      <c r="CU65">
        <v>117.1</v>
      </c>
      <c r="CV65">
        <v>116.3</v>
      </c>
      <c r="CW65">
        <v>114.9</v>
      </c>
      <c r="CX65">
        <v>114.3</v>
      </c>
      <c r="CY65">
        <v>114.8</v>
      </c>
      <c r="CZ65">
        <v>115.9</v>
      </c>
      <c r="DA65">
        <v>116.1</v>
      </c>
      <c r="DB65">
        <v>115.7</v>
      </c>
      <c r="DC65">
        <v>120.4</v>
      </c>
      <c r="DD65">
        <v>120.4</v>
      </c>
      <c r="DE65">
        <v>122.5</v>
      </c>
      <c r="DF65">
        <v>123.1</v>
      </c>
      <c r="DG65">
        <v>121.9</v>
      </c>
      <c r="DH65">
        <v>121.3</v>
      </c>
      <c r="DI65">
        <v>120.6</v>
      </c>
      <c r="DJ65">
        <v>120.3</v>
      </c>
      <c r="DK65">
        <v>120.5</v>
      </c>
      <c r="DL65">
        <v>121.2</v>
      </c>
      <c r="DM65">
        <v>121.4</v>
      </c>
      <c r="DN65">
        <v>121.5</v>
      </c>
      <c r="DO65">
        <v>122.2</v>
      </c>
      <c r="DP65">
        <v>123.1</v>
      </c>
      <c r="DQ65">
        <v>123.4</v>
      </c>
      <c r="DR65">
        <v>123.4</v>
      </c>
      <c r="DS65">
        <v>123.1</v>
      </c>
      <c r="DT65">
        <v>122.7</v>
      </c>
      <c r="DU65">
        <v>121.9</v>
      </c>
      <c r="DV65">
        <v>121.9</v>
      </c>
      <c r="DW65">
        <v>123.1</v>
      </c>
      <c r="DX65">
        <v>124.2</v>
      </c>
    </row>
    <row r="66" spans="1:128" x14ac:dyDescent="0.3">
      <c r="A66" t="s">
        <v>12</v>
      </c>
      <c r="B66" t="s">
        <v>66</v>
      </c>
      <c r="C66" s="10" t="s">
        <v>33</v>
      </c>
      <c r="E66">
        <v>101.8</v>
      </c>
      <c r="F66">
        <v>102.3</v>
      </c>
      <c r="G66">
        <v>102.4</v>
      </c>
      <c r="H66">
        <v>103.5</v>
      </c>
      <c r="I66">
        <v>105</v>
      </c>
      <c r="J66">
        <v>106.4</v>
      </c>
      <c r="K66">
        <v>107.5</v>
      </c>
      <c r="L66">
        <v>108.5</v>
      </c>
      <c r="M66">
        <v>109.1</v>
      </c>
      <c r="N66">
        <v>109.6</v>
      </c>
      <c r="O66">
        <v>110.3</v>
      </c>
      <c r="P66">
        <v>111.9</v>
      </c>
      <c r="Q66">
        <v>112.7</v>
      </c>
      <c r="R66">
        <v>113.5</v>
      </c>
      <c r="S66">
        <v>114.1</v>
      </c>
      <c r="T66">
        <v>115.3</v>
      </c>
      <c r="U66">
        <v>117</v>
      </c>
      <c r="V66">
        <v>118.3</v>
      </c>
      <c r="W66">
        <v>120</v>
      </c>
      <c r="X66">
        <v>122.1</v>
      </c>
      <c r="Y66">
        <v>122.9</v>
      </c>
      <c r="Z66">
        <v>123.8</v>
      </c>
      <c r="AA66">
        <v>124.6</v>
      </c>
      <c r="AB66">
        <v>125.4</v>
      </c>
      <c r="AC66">
        <v>126.6</v>
      </c>
      <c r="AD66">
        <v>127.7</v>
      </c>
      <c r="AE66">
        <v>127.4</v>
      </c>
      <c r="AF66">
        <v>127.7</v>
      </c>
      <c r="AG66">
        <v>128.80000000000001</v>
      </c>
      <c r="AH66">
        <v>130.5</v>
      </c>
      <c r="AI66">
        <v>131.5</v>
      </c>
      <c r="AJ66">
        <v>132.69999999999999</v>
      </c>
      <c r="AK66">
        <v>134.4</v>
      </c>
      <c r="AL66">
        <v>135.80000000000001</v>
      </c>
      <c r="AM66">
        <v>137.1</v>
      </c>
      <c r="AN66">
        <v>138.6</v>
      </c>
      <c r="AO66">
        <v>139.5</v>
      </c>
      <c r="AP66">
        <v>139.69999999999999</v>
      </c>
      <c r="AQ66">
        <v>140.1</v>
      </c>
      <c r="AR66">
        <v>140.4</v>
      </c>
      <c r="AS66">
        <v>141.5</v>
      </c>
      <c r="AT66">
        <v>142.80000000000001</v>
      </c>
      <c r="AU66">
        <v>143.9</v>
      </c>
      <c r="AV66">
        <v>144.6</v>
      </c>
      <c r="AW66">
        <v>144.80000000000001</v>
      </c>
      <c r="AX66">
        <v>145.30000000000001</v>
      </c>
      <c r="AY66">
        <v>145.4</v>
      </c>
      <c r="AZ66">
        <v>145.5</v>
      </c>
      <c r="BA66">
        <v>144.9</v>
      </c>
      <c r="BB66">
        <v>144</v>
      </c>
      <c r="BC66">
        <v>142.6</v>
      </c>
      <c r="BD66">
        <v>141.30000000000001</v>
      </c>
      <c r="BE66">
        <v>139.9</v>
      </c>
      <c r="BF66">
        <v>138.80000000000001</v>
      </c>
      <c r="BG66">
        <v>137.80000000000001</v>
      </c>
      <c r="BH66">
        <v>137.5</v>
      </c>
      <c r="BI66">
        <v>137.30000000000001</v>
      </c>
      <c r="BJ66">
        <v>137.80000000000001</v>
      </c>
      <c r="BK66">
        <v>138.30000000000001</v>
      </c>
      <c r="BL66">
        <v>139.69999999999999</v>
      </c>
      <c r="BM66">
        <v>140.5</v>
      </c>
      <c r="BN66">
        <v>140.69999999999999</v>
      </c>
      <c r="BO66">
        <v>140.69999999999999</v>
      </c>
      <c r="BP66">
        <v>140.19999999999999</v>
      </c>
      <c r="BQ66">
        <v>139.6</v>
      </c>
      <c r="BR66">
        <v>140</v>
      </c>
      <c r="BS66">
        <v>140.30000000000001</v>
      </c>
      <c r="BT66">
        <v>141.1</v>
      </c>
      <c r="BU66">
        <v>141.19999999999999</v>
      </c>
      <c r="BV66">
        <v>141.1</v>
      </c>
      <c r="BW66">
        <v>141.4</v>
      </c>
      <c r="BX66">
        <v>141.5</v>
      </c>
      <c r="BY66">
        <v>140.4</v>
      </c>
      <c r="BZ66">
        <v>140.80000000000001</v>
      </c>
      <c r="CA66">
        <v>140.69999999999999</v>
      </c>
      <c r="CB66">
        <v>141</v>
      </c>
      <c r="CC66">
        <v>141</v>
      </c>
      <c r="CD66">
        <v>141.6</v>
      </c>
      <c r="CE66">
        <v>142.5</v>
      </c>
      <c r="CF66">
        <v>143.80000000000001</v>
      </c>
      <c r="CG66">
        <v>145.19999999999999</v>
      </c>
      <c r="CH66">
        <v>146.30000000000001</v>
      </c>
      <c r="CI66">
        <v>148</v>
      </c>
      <c r="CJ66">
        <v>149.5</v>
      </c>
      <c r="CK66">
        <v>150.4</v>
      </c>
      <c r="CL66">
        <v>151.5</v>
      </c>
      <c r="CM66">
        <v>154</v>
      </c>
      <c r="CN66" t="s">
        <v>32</v>
      </c>
      <c r="CO66">
        <v>158.80000000000001</v>
      </c>
      <c r="CP66">
        <v>158.80000000000001</v>
      </c>
      <c r="CQ66">
        <v>160</v>
      </c>
      <c r="CR66">
        <v>160.9</v>
      </c>
      <c r="CS66">
        <v>161.30000000000001</v>
      </c>
      <c r="CT66">
        <v>161.4</v>
      </c>
      <c r="CU66">
        <v>161.9</v>
      </c>
      <c r="CV66">
        <v>163</v>
      </c>
      <c r="CW66">
        <v>162.5</v>
      </c>
      <c r="CX66">
        <v>162.6</v>
      </c>
      <c r="CY66">
        <v>162.80000000000001</v>
      </c>
      <c r="CZ66">
        <v>165.2</v>
      </c>
      <c r="DA66">
        <v>165.5</v>
      </c>
      <c r="DB66">
        <v>165.5</v>
      </c>
      <c r="DC66">
        <v>166.2</v>
      </c>
      <c r="DD66">
        <v>166.2</v>
      </c>
      <c r="DE66">
        <v>166.8</v>
      </c>
      <c r="DF66">
        <v>167.2</v>
      </c>
      <c r="DG66">
        <v>168.2</v>
      </c>
      <c r="DH66">
        <v>169.8</v>
      </c>
      <c r="DI66">
        <v>172.2</v>
      </c>
      <c r="DJ66">
        <v>174.7</v>
      </c>
      <c r="DK66">
        <v>178</v>
      </c>
      <c r="DL66">
        <v>181.4</v>
      </c>
      <c r="DM66">
        <v>183.5</v>
      </c>
      <c r="DN66">
        <v>186.3</v>
      </c>
      <c r="DO66">
        <v>189.7</v>
      </c>
      <c r="DP66">
        <v>193.6</v>
      </c>
      <c r="DQ66">
        <v>196.4</v>
      </c>
      <c r="DR66">
        <v>198.8</v>
      </c>
      <c r="DS66">
        <v>200.5</v>
      </c>
      <c r="DT66">
        <v>204.3</v>
      </c>
      <c r="DU66">
        <v>204.8</v>
      </c>
      <c r="DV66">
        <v>204.8</v>
      </c>
      <c r="DW66">
        <v>207.8</v>
      </c>
      <c r="DX66">
        <v>211.9</v>
      </c>
    </row>
    <row r="67" spans="1:128" x14ac:dyDescent="0.3">
      <c r="A67" t="s">
        <v>13</v>
      </c>
      <c r="B67" t="s">
        <v>67</v>
      </c>
      <c r="C67" s="10" t="s">
        <v>33</v>
      </c>
      <c r="E67">
        <v>105.1</v>
      </c>
      <c r="F67">
        <v>106</v>
      </c>
      <c r="G67">
        <v>107</v>
      </c>
      <c r="H67">
        <v>108.2</v>
      </c>
      <c r="I67">
        <v>109.1</v>
      </c>
      <c r="J67">
        <v>110</v>
      </c>
      <c r="K67">
        <v>110.4</v>
      </c>
      <c r="L67">
        <v>110.9</v>
      </c>
      <c r="M67">
        <v>111.1</v>
      </c>
      <c r="N67">
        <v>111.4</v>
      </c>
      <c r="O67">
        <v>111.8</v>
      </c>
      <c r="P67">
        <v>112.1</v>
      </c>
      <c r="Q67">
        <v>112.1</v>
      </c>
      <c r="R67">
        <v>112.1</v>
      </c>
      <c r="S67">
        <v>112.2</v>
      </c>
      <c r="T67">
        <v>112.7</v>
      </c>
      <c r="U67">
        <v>112.9</v>
      </c>
      <c r="V67">
        <v>113.2</v>
      </c>
      <c r="W67">
        <v>113.8</v>
      </c>
      <c r="X67">
        <v>114.4</v>
      </c>
      <c r="Y67">
        <v>114.8</v>
      </c>
      <c r="Z67">
        <v>115.2</v>
      </c>
      <c r="AA67">
        <v>115.8</v>
      </c>
      <c r="AB67">
        <v>116.1</v>
      </c>
      <c r="AC67">
        <v>116.5</v>
      </c>
      <c r="AD67">
        <v>116.8</v>
      </c>
      <c r="AE67">
        <v>117</v>
      </c>
      <c r="AF67">
        <v>117.2</v>
      </c>
      <c r="AG67">
        <v>117.7</v>
      </c>
      <c r="AH67">
        <v>118</v>
      </c>
      <c r="AI67">
        <v>118.3</v>
      </c>
      <c r="AJ67">
        <v>118.8</v>
      </c>
      <c r="AK67">
        <v>119.1</v>
      </c>
      <c r="AL67">
        <v>119.4</v>
      </c>
      <c r="AM67">
        <v>119.8</v>
      </c>
      <c r="AN67">
        <v>120.2</v>
      </c>
      <c r="AO67">
        <v>120.5</v>
      </c>
      <c r="AP67">
        <v>120.6</v>
      </c>
      <c r="AQ67">
        <v>120.7</v>
      </c>
      <c r="AR67">
        <v>121.1</v>
      </c>
      <c r="AS67">
        <v>121.5</v>
      </c>
      <c r="AT67">
        <v>121.6</v>
      </c>
      <c r="AU67">
        <v>121.7</v>
      </c>
      <c r="AV67">
        <v>121.9</v>
      </c>
      <c r="AW67">
        <v>122.1</v>
      </c>
      <c r="AX67">
        <v>122.5</v>
      </c>
      <c r="AY67">
        <v>122.7</v>
      </c>
      <c r="AZ67">
        <v>123.1</v>
      </c>
      <c r="BA67">
        <v>123.2</v>
      </c>
      <c r="BB67">
        <v>123.4</v>
      </c>
      <c r="BC67">
        <v>123.6</v>
      </c>
      <c r="BD67">
        <v>123.8</v>
      </c>
      <c r="BE67">
        <v>123.8</v>
      </c>
      <c r="BF67">
        <v>124.2</v>
      </c>
      <c r="BG67">
        <v>124.4</v>
      </c>
      <c r="BH67">
        <v>124.6</v>
      </c>
      <c r="BI67">
        <v>124.8</v>
      </c>
      <c r="BJ67">
        <v>125.1</v>
      </c>
      <c r="BK67">
        <v>125.4</v>
      </c>
      <c r="BL67">
        <v>125.7</v>
      </c>
      <c r="BM67">
        <v>125.9</v>
      </c>
      <c r="BN67">
        <v>125.9</v>
      </c>
      <c r="BO67">
        <v>126.2</v>
      </c>
      <c r="BP67">
        <v>126.5</v>
      </c>
      <c r="BQ67">
        <v>126.6</v>
      </c>
      <c r="BR67">
        <v>126.7</v>
      </c>
      <c r="BS67">
        <v>126.8</v>
      </c>
      <c r="BT67">
        <v>127.4</v>
      </c>
      <c r="BU67">
        <v>127.7</v>
      </c>
      <c r="BV67">
        <v>127.6</v>
      </c>
      <c r="BW67">
        <v>128</v>
      </c>
      <c r="BX67">
        <v>128.1</v>
      </c>
      <c r="BY67">
        <v>128.1</v>
      </c>
      <c r="BZ67">
        <v>128.30000000000001</v>
      </c>
      <c r="CA67">
        <v>128.5</v>
      </c>
      <c r="CB67">
        <v>128.9</v>
      </c>
      <c r="CC67">
        <v>129</v>
      </c>
      <c r="CD67">
        <v>129.5</v>
      </c>
      <c r="CE67">
        <v>129.80000000000001</v>
      </c>
      <c r="CF67">
        <v>130</v>
      </c>
      <c r="CG67">
        <v>130.19999999999999</v>
      </c>
      <c r="CH67">
        <v>130.5</v>
      </c>
      <c r="CI67">
        <v>130.80000000000001</v>
      </c>
      <c r="CJ67">
        <v>131.1</v>
      </c>
      <c r="CK67">
        <v>131.5</v>
      </c>
      <c r="CL67">
        <v>131.9</v>
      </c>
      <c r="CM67">
        <v>133.5</v>
      </c>
      <c r="CN67" t="s">
        <v>32</v>
      </c>
      <c r="CO67">
        <v>135.6</v>
      </c>
      <c r="CP67">
        <v>135.6</v>
      </c>
      <c r="CQ67">
        <v>136.5</v>
      </c>
      <c r="CR67">
        <v>137.69999999999999</v>
      </c>
      <c r="CS67">
        <v>139.19999999999999</v>
      </c>
      <c r="CT67">
        <v>141.5</v>
      </c>
      <c r="CU67">
        <v>143.30000000000001</v>
      </c>
      <c r="CV67">
        <v>145.9</v>
      </c>
      <c r="CW67">
        <v>149.19999999999999</v>
      </c>
      <c r="CX67">
        <v>150.69999999999999</v>
      </c>
      <c r="CY67">
        <v>151.5</v>
      </c>
      <c r="CZ67">
        <v>152</v>
      </c>
      <c r="DA67">
        <v>152.30000000000001</v>
      </c>
      <c r="DB67">
        <v>153.4</v>
      </c>
      <c r="DC67">
        <v>154.80000000000001</v>
      </c>
      <c r="DD67">
        <v>154.80000000000001</v>
      </c>
      <c r="DE67">
        <v>155.4</v>
      </c>
      <c r="DF67">
        <v>156.1</v>
      </c>
      <c r="DG67">
        <v>156.5</v>
      </c>
      <c r="DH67">
        <v>156.6</v>
      </c>
      <c r="DI67">
        <v>156.69999999999999</v>
      </c>
      <c r="DJ67">
        <v>157.1</v>
      </c>
      <c r="DK67">
        <v>157.5</v>
      </c>
      <c r="DL67">
        <v>158.5</v>
      </c>
      <c r="DM67">
        <v>159.1</v>
      </c>
      <c r="DN67">
        <v>159.80000000000001</v>
      </c>
      <c r="DO67">
        <v>160.5</v>
      </c>
      <c r="DP67">
        <v>161.1</v>
      </c>
      <c r="DQ67">
        <v>161.6</v>
      </c>
      <c r="DR67">
        <v>162.1</v>
      </c>
      <c r="DS67">
        <v>162.80000000000001</v>
      </c>
      <c r="DT67">
        <v>163.69999999999999</v>
      </c>
      <c r="DU67">
        <v>164.9</v>
      </c>
      <c r="DV67">
        <v>164.9</v>
      </c>
      <c r="DW67">
        <v>165.5</v>
      </c>
      <c r="DX67">
        <v>165.9</v>
      </c>
    </row>
    <row r="68" spans="1:128" x14ac:dyDescent="0.3">
      <c r="A68" t="s">
        <v>14</v>
      </c>
      <c r="B68" t="s">
        <v>66</v>
      </c>
      <c r="C68" s="10" t="s">
        <v>33</v>
      </c>
      <c r="E68">
        <v>107.9</v>
      </c>
      <c r="F68">
        <v>109</v>
      </c>
      <c r="G68">
        <v>109.8</v>
      </c>
      <c r="H68">
        <v>110.6</v>
      </c>
      <c r="I68">
        <v>111.3</v>
      </c>
      <c r="J68">
        <v>112.2</v>
      </c>
      <c r="K68">
        <v>113.1</v>
      </c>
      <c r="L68">
        <v>114.3</v>
      </c>
      <c r="M68">
        <v>115.4</v>
      </c>
      <c r="N68">
        <v>116</v>
      </c>
      <c r="O68">
        <v>117.1</v>
      </c>
      <c r="P68">
        <v>118.1</v>
      </c>
      <c r="Q68">
        <v>119</v>
      </c>
      <c r="R68">
        <v>119.9</v>
      </c>
      <c r="S68">
        <v>120.5</v>
      </c>
      <c r="T68">
        <v>121</v>
      </c>
      <c r="U68">
        <v>121.7</v>
      </c>
      <c r="V68">
        <v>122.4</v>
      </c>
      <c r="W68">
        <v>123.4</v>
      </c>
      <c r="X68">
        <v>124.7</v>
      </c>
      <c r="Y68">
        <v>125.2</v>
      </c>
      <c r="Z68">
        <v>125.9</v>
      </c>
      <c r="AA68">
        <v>126.9</v>
      </c>
      <c r="AB68">
        <v>127.6</v>
      </c>
      <c r="AC68">
        <v>128</v>
      </c>
      <c r="AD68">
        <v>128.6</v>
      </c>
      <c r="AE68">
        <v>129.19999999999999</v>
      </c>
      <c r="AF68">
        <v>129.5</v>
      </c>
      <c r="AG68">
        <v>129.9</v>
      </c>
      <c r="AH68">
        <v>130.5</v>
      </c>
      <c r="AI68">
        <v>131.1</v>
      </c>
      <c r="AJ68">
        <v>131.69999999999999</v>
      </c>
      <c r="AK68">
        <v>132.30000000000001</v>
      </c>
      <c r="AL68">
        <v>132.9</v>
      </c>
      <c r="AM68">
        <v>133.69999999999999</v>
      </c>
      <c r="AN68">
        <v>134.19999999999999</v>
      </c>
      <c r="AO68">
        <v>134.69999999999999</v>
      </c>
      <c r="AP68">
        <v>135.19999999999999</v>
      </c>
      <c r="AQ68">
        <v>135.4</v>
      </c>
      <c r="AR68">
        <v>135.9</v>
      </c>
      <c r="AS68">
        <v>136.30000000000001</v>
      </c>
      <c r="AT68">
        <v>136.9</v>
      </c>
      <c r="AU68">
        <v>137.5</v>
      </c>
      <c r="AV68">
        <v>138.1</v>
      </c>
      <c r="AW68">
        <v>138.80000000000001</v>
      </c>
      <c r="AX68">
        <v>139.6</v>
      </c>
      <c r="AY68">
        <v>140.30000000000001</v>
      </c>
      <c r="AZ68">
        <v>140.9</v>
      </c>
      <c r="BA68">
        <v>141.6</v>
      </c>
      <c r="BB68">
        <v>141.9</v>
      </c>
      <c r="BC68">
        <v>142.4</v>
      </c>
      <c r="BD68">
        <v>142.6</v>
      </c>
      <c r="BE68">
        <v>142.9</v>
      </c>
      <c r="BF68">
        <v>143.1</v>
      </c>
      <c r="BG68">
        <v>143.69999999999999</v>
      </c>
      <c r="BH68">
        <v>144.5</v>
      </c>
      <c r="BI68">
        <v>145</v>
      </c>
      <c r="BJ68">
        <v>145.5</v>
      </c>
      <c r="BK68">
        <v>146</v>
      </c>
      <c r="BL68">
        <v>146.30000000000001</v>
      </c>
      <c r="BM68">
        <v>146.80000000000001</v>
      </c>
      <c r="BN68">
        <v>147.1</v>
      </c>
      <c r="BO68">
        <v>147.6</v>
      </c>
      <c r="BP68">
        <v>148.30000000000001</v>
      </c>
      <c r="BQ68">
        <v>148.69999999999999</v>
      </c>
      <c r="BR68">
        <v>149</v>
      </c>
      <c r="BS68">
        <v>149.4</v>
      </c>
      <c r="BT68">
        <v>150.4</v>
      </c>
      <c r="BU68">
        <v>151.30000000000001</v>
      </c>
      <c r="BV68">
        <v>152</v>
      </c>
      <c r="BW68">
        <v>152.6</v>
      </c>
      <c r="BX68">
        <v>152.9</v>
      </c>
      <c r="BY68">
        <v>153.19999999999999</v>
      </c>
      <c r="BZ68">
        <v>153.5</v>
      </c>
      <c r="CA68">
        <v>153.9</v>
      </c>
      <c r="CB68">
        <v>154.5</v>
      </c>
      <c r="CC68">
        <v>155.1</v>
      </c>
      <c r="CD68">
        <v>155.6</v>
      </c>
      <c r="CE68">
        <v>156.19999999999999</v>
      </c>
      <c r="CF68">
        <v>156.4</v>
      </c>
      <c r="CG68">
        <v>156.80000000000001</v>
      </c>
      <c r="CH68">
        <v>157.19999999999999</v>
      </c>
      <c r="CI68">
        <v>157.69999999999999</v>
      </c>
      <c r="CJ68">
        <v>158.5</v>
      </c>
      <c r="CK68">
        <v>159</v>
      </c>
      <c r="CL68">
        <v>159.1</v>
      </c>
      <c r="CM68" t="s">
        <v>32</v>
      </c>
      <c r="CN68" t="s">
        <v>32</v>
      </c>
      <c r="CO68">
        <v>161.69999999999999</v>
      </c>
      <c r="CP68">
        <v>161.69999999999999</v>
      </c>
      <c r="CQ68">
        <v>163.30000000000001</v>
      </c>
      <c r="CR68">
        <v>164.4</v>
      </c>
      <c r="CS68">
        <v>164.8</v>
      </c>
      <c r="CT68">
        <v>165.1</v>
      </c>
      <c r="CU68">
        <v>166.1</v>
      </c>
      <c r="CV68">
        <v>167.2</v>
      </c>
      <c r="CW68">
        <v>169.4</v>
      </c>
      <c r="CX68">
        <v>170.3</v>
      </c>
      <c r="CY68">
        <v>171.4</v>
      </c>
      <c r="CZ68">
        <v>171.1</v>
      </c>
      <c r="DA68">
        <v>173.3</v>
      </c>
      <c r="DB68">
        <v>173.5</v>
      </c>
      <c r="DC68">
        <v>175.1</v>
      </c>
      <c r="DD68">
        <v>175.1</v>
      </c>
      <c r="DE68">
        <v>175.9</v>
      </c>
      <c r="DF68">
        <v>176.8</v>
      </c>
      <c r="DG68">
        <v>178.2</v>
      </c>
      <c r="DH68">
        <v>179</v>
      </c>
      <c r="DI68">
        <v>180</v>
      </c>
      <c r="DJ68">
        <v>181.5</v>
      </c>
      <c r="DK68">
        <v>183.3</v>
      </c>
      <c r="DL68">
        <v>184.9</v>
      </c>
      <c r="DM68">
        <v>186.3</v>
      </c>
      <c r="DN68">
        <v>187.7</v>
      </c>
      <c r="DO68">
        <v>188.9</v>
      </c>
      <c r="DP68">
        <v>190.4</v>
      </c>
      <c r="DQ68">
        <v>191.5</v>
      </c>
      <c r="DR68">
        <v>192.4</v>
      </c>
      <c r="DS68">
        <v>193.3</v>
      </c>
      <c r="DT68">
        <v>194.3</v>
      </c>
      <c r="DU68">
        <v>196.6</v>
      </c>
      <c r="DV68">
        <v>196.6</v>
      </c>
      <c r="DW68">
        <v>197</v>
      </c>
      <c r="DX68">
        <v>197.7</v>
      </c>
    </row>
    <row r="69" spans="1:128" x14ac:dyDescent="0.3">
      <c r="A69" t="s">
        <v>15</v>
      </c>
      <c r="B69" t="s">
        <v>66</v>
      </c>
      <c r="C69" s="10" t="s">
        <v>33</v>
      </c>
      <c r="E69">
        <v>105.9</v>
      </c>
      <c r="F69">
        <v>107.2</v>
      </c>
      <c r="G69">
        <v>107.3</v>
      </c>
      <c r="H69">
        <v>108.8</v>
      </c>
      <c r="I69">
        <v>111.1</v>
      </c>
      <c r="J69">
        <v>115</v>
      </c>
      <c r="K69">
        <v>117.5</v>
      </c>
      <c r="L69">
        <v>119.6</v>
      </c>
      <c r="M69">
        <v>119.2</v>
      </c>
      <c r="N69">
        <v>120.8</v>
      </c>
      <c r="O69">
        <v>122.9</v>
      </c>
      <c r="P69">
        <v>117.8</v>
      </c>
      <c r="Q69">
        <v>115.5</v>
      </c>
      <c r="R69">
        <v>115.2</v>
      </c>
      <c r="S69">
        <v>116</v>
      </c>
      <c r="T69">
        <v>118.2</v>
      </c>
      <c r="U69">
        <v>120</v>
      </c>
      <c r="V69">
        <v>122</v>
      </c>
      <c r="W69">
        <v>127.1</v>
      </c>
      <c r="X69">
        <v>128.9</v>
      </c>
      <c r="Y69">
        <v>126.7</v>
      </c>
      <c r="Z69">
        <v>125.8</v>
      </c>
      <c r="AA69">
        <v>125.4</v>
      </c>
      <c r="AB69">
        <v>124</v>
      </c>
      <c r="AC69">
        <v>123.5</v>
      </c>
      <c r="AD69">
        <v>123.7</v>
      </c>
      <c r="AE69">
        <v>123.9</v>
      </c>
      <c r="AF69">
        <v>124.6</v>
      </c>
      <c r="AG69">
        <v>126.1</v>
      </c>
      <c r="AH69">
        <v>128.5</v>
      </c>
      <c r="AI69">
        <v>129.5</v>
      </c>
      <c r="AJ69">
        <v>131.1</v>
      </c>
      <c r="AK69">
        <v>131.5</v>
      </c>
      <c r="AL69">
        <v>132.6</v>
      </c>
      <c r="AM69">
        <v>133.30000000000001</v>
      </c>
      <c r="AN69">
        <v>131.5</v>
      </c>
      <c r="AO69">
        <v>131.19999999999999</v>
      </c>
      <c r="AP69">
        <v>129.1</v>
      </c>
      <c r="AQ69">
        <v>128.9</v>
      </c>
      <c r="AR69">
        <v>131.80000000000001</v>
      </c>
      <c r="AS69">
        <v>134.6</v>
      </c>
      <c r="AT69">
        <v>138.19999999999999</v>
      </c>
      <c r="AU69">
        <v>139.80000000000001</v>
      </c>
      <c r="AV69">
        <v>137.6</v>
      </c>
      <c r="AW69">
        <v>135.69999999999999</v>
      </c>
      <c r="AX69">
        <v>136.30000000000001</v>
      </c>
      <c r="AY69">
        <v>135.19999999999999</v>
      </c>
      <c r="AZ69">
        <v>132.80000000000001</v>
      </c>
      <c r="BA69">
        <v>132</v>
      </c>
      <c r="BB69">
        <v>132.1</v>
      </c>
      <c r="BC69">
        <v>132.6</v>
      </c>
      <c r="BD69">
        <v>133.4</v>
      </c>
      <c r="BE69">
        <v>133.6</v>
      </c>
      <c r="BF69">
        <v>135.69999999999999</v>
      </c>
      <c r="BG69">
        <v>139.80000000000001</v>
      </c>
      <c r="BH69">
        <v>140.5</v>
      </c>
      <c r="BI69">
        <v>138</v>
      </c>
      <c r="BJ69">
        <v>139.69999999999999</v>
      </c>
      <c r="BK69">
        <v>141.5</v>
      </c>
      <c r="BL69">
        <v>138.80000000000001</v>
      </c>
      <c r="BM69">
        <v>137.19999999999999</v>
      </c>
      <c r="BN69">
        <v>135.6</v>
      </c>
      <c r="BO69">
        <v>134.80000000000001</v>
      </c>
      <c r="BP69">
        <v>135.69999999999999</v>
      </c>
      <c r="BQ69">
        <v>136.4</v>
      </c>
      <c r="BR69">
        <v>138.4</v>
      </c>
      <c r="BS69">
        <v>140.30000000000001</v>
      </c>
      <c r="BT69">
        <v>140.1</v>
      </c>
      <c r="BU69">
        <v>138.9</v>
      </c>
      <c r="BV69">
        <v>139.4</v>
      </c>
      <c r="BW69">
        <v>139.1</v>
      </c>
      <c r="BX69">
        <v>137.6</v>
      </c>
      <c r="BY69">
        <v>137.30000000000001</v>
      </c>
      <c r="BZ69">
        <v>138</v>
      </c>
      <c r="CA69">
        <v>139.6</v>
      </c>
      <c r="CB69">
        <v>143.80000000000001</v>
      </c>
      <c r="CC69">
        <v>145.6</v>
      </c>
      <c r="CD69">
        <v>147.69999999999999</v>
      </c>
      <c r="CE69">
        <v>149.1</v>
      </c>
      <c r="CF69">
        <v>149.5</v>
      </c>
      <c r="CG69">
        <v>151.9</v>
      </c>
      <c r="CH69">
        <v>153.6</v>
      </c>
      <c r="CI69">
        <v>156.30000000000001</v>
      </c>
      <c r="CJ69">
        <v>154.4</v>
      </c>
      <c r="CK69">
        <v>151.69999999999999</v>
      </c>
      <c r="CL69">
        <v>150.1</v>
      </c>
      <c r="CM69">
        <v>153.5</v>
      </c>
      <c r="CN69" t="s">
        <v>32</v>
      </c>
      <c r="CO69">
        <v>157</v>
      </c>
      <c r="CP69">
        <v>157</v>
      </c>
      <c r="CQ69">
        <v>159.9</v>
      </c>
      <c r="CR69">
        <v>161.30000000000001</v>
      </c>
      <c r="CS69">
        <v>164.4</v>
      </c>
      <c r="CT69">
        <v>167</v>
      </c>
      <c r="CU69">
        <v>167</v>
      </c>
      <c r="CV69">
        <v>163.4</v>
      </c>
      <c r="CW69">
        <v>160.80000000000001</v>
      </c>
      <c r="CX69">
        <v>160.4</v>
      </c>
      <c r="CY69">
        <v>162</v>
      </c>
      <c r="CZ69">
        <v>164.2</v>
      </c>
      <c r="DA69">
        <v>166.2</v>
      </c>
      <c r="DB69">
        <v>167.9</v>
      </c>
      <c r="DC69">
        <v>167.3</v>
      </c>
      <c r="DD69">
        <v>167.3</v>
      </c>
      <c r="DE69">
        <v>171.5</v>
      </c>
      <c r="DF69">
        <v>173.5</v>
      </c>
      <c r="DG69">
        <v>172.2</v>
      </c>
      <c r="DH69">
        <v>170.3</v>
      </c>
      <c r="DI69">
        <v>170.2</v>
      </c>
      <c r="DJ69">
        <v>171.5</v>
      </c>
      <c r="DK69">
        <v>174.5</v>
      </c>
      <c r="DL69">
        <v>177.5</v>
      </c>
      <c r="DM69">
        <v>179.3</v>
      </c>
      <c r="DN69">
        <v>179.4</v>
      </c>
      <c r="DO69">
        <v>180.4</v>
      </c>
      <c r="DP69">
        <v>181.8</v>
      </c>
      <c r="DQ69">
        <v>183.3</v>
      </c>
      <c r="DR69">
        <v>181.3</v>
      </c>
      <c r="DS69">
        <v>178.6</v>
      </c>
      <c r="DT69">
        <v>179.5</v>
      </c>
      <c r="DU69">
        <v>180.7</v>
      </c>
      <c r="DV69">
        <v>180.8</v>
      </c>
      <c r="DW69">
        <v>182.1</v>
      </c>
      <c r="DX69">
        <v>183.1</v>
      </c>
    </row>
    <row r="70" spans="1:128" x14ac:dyDescent="0.3">
      <c r="A70" t="s">
        <v>16</v>
      </c>
      <c r="B70" t="s">
        <v>67</v>
      </c>
      <c r="C70" s="10" t="s">
        <v>33</v>
      </c>
      <c r="E70">
        <v>105.2</v>
      </c>
      <c r="F70">
        <v>106</v>
      </c>
      <c r="G70">
        <v>106.8</v>
      </c>
      <c r="H70">
        <v>108.5</v>
      </c>
      <c r="I70">
        <v>109.8</v>
      </c>
      <c r="J70">
        <v>110.9</v>
      </c>
      <c r="K70">
        <v>111.7</v>
      </c>
      <c r="L70">
        <v>112.4</v>
      </c>
      <c r="M70">
        <v>112.9</v>
      </c>
      <c r="N70">
        <v>113.5</v>
      </c>
      <c r="O70">
        <v>114.1</v>
      </c>
      <c r="P70">
        <v>115</v>
      </c>
      <c r="Q70">
        <v>115.7</v>
      </c>
      <c r="R70">
        <v>116.2</v>
      </c>
      <c r="S70">
        <v>116.7</v>
      </c>
      <c r="T70">
        <v>117.6</v>
      </c>
      <c r="U70">
        <v>118.3</v>
      </c>
      <c r="V70">
        <v>119</v>
      </c>
      <c r="W70">
        <v>121</v>
      </c>
      <c r="X70">
        <v>123</v>
      </c>
      <c r="Y70">
        <v>124.3</v>
      </c>
      <c r="Z70">
        <v>124.3</v>
      </c>
      <c r="AA70">
        <v>125.8</v>
      </c>
      <c r="AB70">
        <v>126.4</v>
      </c>
      <c r="AC70">
        <v>127.4</v>
      </c>
      <c r="AD70">
        <v>128.1</v>
      </c>
      <c r="AE70">
        <v>128.80000000000001</v>
      </c>
      <c r="AF70">
        <v>130.1</v>
      </c>
      <c r="AG70">
        <v>131.30000000000001</v>
      </c>
      <c r="AH70">
        <v>132.1</v>
      </c>
      <c r="AI70">
        <v>133.1</v>
      </c>
      <c r="AJ70">
        <v>134.19999999999999</v>
      </c>
      <c r="AK70">
        <v>134.69999999999999</v>
      </c>
      <c r="AL70">
        <v>135.30000000000001</v>
      </c>
      <c r="AM70">
        <v>137.6</v>
      </c>
      <c r="AN70">
        <v>138.19999999999999</v>
      </c>
      <c r="AO70">
        <v>139.5</v>
      </c>
      <c r="AP70">
        <v>140</v>
      </c>
      <c r="AQ70">
        <v>140.6</v>
      </c>
      <c r="AR70">
        <v>141.5</v>
      </c>
      <c r="AS70">
        <v>142.19999999999999</v>
      </c>
      <c r="AT70">
        <v>142.69999999999999</v>
      </c>
      <c r="AU70">
        <v>142.9</v>
      </c>
      <c r="AV70">
        <v>143.6</v>
      </c>
      <c r="AW70">
        <v>143.9</v>
      </c>
      <c r="AX70">
        <v>144.30000000000001</v>
      </c>
      <c r="AY70">
        <v>144.30000000000001</v>
      </c>
      <c r="AZ70">
        <v>145</v>
      </c>
      <c r="BA70">
        <v>145.6</v>
      </c>
      <c r="BB70">
        <v>146.30000000000001</v>
      </c>
      <c r="BC70">
        <v>147.5</v>
      </c>
      <c r="BD70">
        <v>148</v>
      </c>
      <c r="BE70">
        <v>148.30000000000001</v>
      </c>
      <c r="BF70">
        <v>148.6</v>
      </c>
      <c r="BG70">
        <v>150.5</v>
      </c>
      <c r="BH70">
        <v>152.1</v>
      </c>
      <c r="BI70">
        <v>153.6</v>
      </c>
      <c r="BJ70">
        <v>154.6</v>
      </c>
      <c r="BK70">
        <v>156.19999999999999</v>
      </c>
      <c r="BL70">
        <v>157</v>
      </c>
      <c r="BM70">
        <v>157.69999999999999</v>
      </c>
      <c r="BN70">
        <v>159.30000000000001</v>
      </c>
      <c r="BO70">
        <v>159.69999999999999</v>
      </c>
      <c r="BP70">
        <v>159.19999999999999</v>
      </c>
      <c r="BQ70">
        <v>160.30000000000001</v>
      </c>
      <c r="BR70">
        <v>161</v>
      </c>
      <c r="BS70">
        <v>161.4</v>
      </c>
      <c r="BT70">
        <v>162.1</v>
      </c>
      <c r="BU70">
        <v>163.30000000000001</v>
      </c>
      <c r="BV70">
        <v>164</v>
      </c>
      <c r="BW70">
        <v>164.4</v>
      </c>
      <c r="BX70">
        <v>164.6</v>
      </c>
      <c r="BY70">
        <v>164.7</v>
      </c>
      <c r="BZ70">
        <v>164.9</v>
      </c>
      <c r="CA70">
        <v>165.3</v>
      </c>
      <c r="CB70">
        <v>166.2</v>
      </c>
      <c r="CC70">
        <v>166.7</v>
      </c>
      <c r="CD70">
        <v>167.2</v>
      </c>
      <c r="CE70">
        <v>167.9</v>
      </c>
      <c r="CF70">
        <v>168.6</v>
      </c>
      <c r="CG70">
        <v>169.3</v>
      </c>
      <c r="CH70">
        <v>169.9</v>
      </c>
      <c r="CI70">
        <v>170.4</v>
      </c>
      <c r="CJ70">
        <v>170.8</v>
      </c>
      <c r="CK70">
        <v>172</v>
      </c>
      <c r="CL70">
        <v>173.3</v>
      </c>
      <c r="CM70" t="s">
        <v>32</v>
      </c>
      <c r="CN70" t="s">
        <v>32</v>
      </c>
      <c r="CO70">
        <v>186.7</v>
      </c>
      <c r="CP70">
        <v>186.7</v>
      </c>
      <c r="CQ70">
        <v>187.2</v>
      </c>
      <c r="CR70">
        <v>188.7</v>
      </c>
      <c r="CS70">
        <v>188.7</v>
      </c>
      <c r="CT70">
        <v>188.8</v>
      </c>
      <c r="CU70">
        <v>190.2</v>
      </c>
      <c r="CV70">
        <v>191.8</v>
      </c>
      <c r="CW70">
        <v>193.3</v>
      </c>
      <c r="CX70">
        <v>193.5</v>
      </c>
      <c r="CY70">
        <v>194.4</v>
      </c>
      <c r="CZ70">
        <v>198.2</v>
      </c>
      <c r="DA70">
        <v>195.6</v>
      </c>
      <c r="DB70">
        <v>195.5</v>
      </c>
      <c r="DC70">
        <v>196.5</v>
      </c>
      <c r="DD70">
        <v>196.5</v>
      </c>
      <c r="DE70">
        <v>197</v>
      </c>
      <c r="DF70">
        <v>197</v>
      </c>
      <c r="DG70">
        <v>196.8</v>
      </c>
      <c r="DH70">
        <v>196.4</v>
      </c>
      <c r="DI70">
        <v>196.5</v>
      </c>
      <c r="DJ70">
        <v>197.5</v>
      </c>
      <c r="DK70">
        <v>197.1</v>
      </c>
      <c r="DL70">
        <v>197.5</v>
      </c>
      <c r="DM70">
        <v>198.3</v>
      </c>
      <c r="DN70">
        <v>198.6</v>
      </c>
      <c r="DO70">
        <v>198.7</v>
      </c>
      <c r="DP70">
        <v>199.7</v>
      </c>
      <c r="DQ70">
        <v>200.1</v>
      </c>
      <c r="DR70">
        <v>200.6</v>
      </c>
      <c r="DS70">
        <v>201.1</v>
      </c>
      <c r="DT70">
        <v>201.6</v>
      </c>
      <c r="DU70">
        <v>202.7</v>
      </c>
      <c r="DV70">
        <v>202.7</v>
      </c>
      <c r="DW70">
        <v>203.5</v>
      </c>
      <c r="DX70">
        <v>204.2</v>
      </c>
    </row>
    <row r="71" spans="1:128" x14ac:dyDescent="0.3">
      <c r="A71" t="s">
        <v>17</v>
      </c>
      <c r="B71" t="s">
        <v>17</v>
      </c>
      <c r="C71" s="10" t="s">
        <v>33</v>
      </c>
      <c r="E71">
        <v>105.9</v>
      </c>
      <c r="F71">
        <v>106.6</v>
      </c>
      <c r="G71">
        <v>107.2</v>
      </c>
      <c r="H71">
        <v>107.9</v>
      </c>
      <c r="I71">
        <v>108.5</v>
      </c>
      <c r="J71">
        <v>109.2</v>
      </c>
      <c r="K71">
        <v>109.8</v>
      </c>
      <c r="L71">
        <v>110.6</v>
      </c>
      <c r="M71">
        <v>111.4</v>
      </c>
      <c r="N71">
        <v>112.5</v>
      </c>
      <c r="O71">
        <v>113.5</v>
      </c>
      <c r="P71">
        <v>114.2</v>
      </c>
      <c r="Q71">
        <v>114.8</v>
      </c>
      <c r="R71">
        <v>115.3</v>
      </c>
      <c r="S71">
        <v>115.8</v>
      </c>
      <c r="T71">
        <v>116.3</v>
      </c>
      <c r="U71">
        <v>116.8</v>
      </c>
      <c r="V71">
        <v>117.4</v>
      </c>
      <c r="W71">
        <v>118</v>
      </c>
      <c r="X71">
        <v>118.6</v>
      </c>
      <c r="Y71">
        <v>119.2</v>
      </c>
      <c r="Z71">
        <v>119.6</v>
      </c>
      <c r="AA71">
        <v>120.3</v>
      </c>
      <c r="AB71">
        <v>120.7</v>
      </c>
      <c r="AC71">
        <v>121</v>
      </c>
      <c r="AD71">
        <v>121.3</v>
      </c>
      <c r="AE71">
        <v>121.7</v>
      </c>
      <c r="AF71">
        <v>122.1</v>
      </c>
      <c r="AG71">
        <v>122.4</v>
      </c>
      <c r="AH71">
        <v>123.2</v>
      </c>
      <c r="AI71">
        <v>123.5</v>
      </c>
      <c r="AJ71">
        <v>123.7</v>
      </c>
      <c r="AK71">
        <v>124</v>
      </c>
      <c r="AL71">
        <v>124.4</v>
      </c>
      <c r="AM71">
        <v>125</v>
      </c>
      <c r="AN71">
        <v>125.4</v>
      </c>
      <c r="AO71">
        <v>125.8</v>
      </c>
      <c r="AP71">
        <v>126.2</v>
      </c>
      <c r="AQ71">
        <v>126.4</v>
      </c>
      <c r="AR71">
        <v>126.8</v>
      </c>
      <c r="AS71">
        <v>127.2</v>
      </c>
      <c r="AT71">
        <v>127.6</v>
      </c>
      <c r="AU71">
        <v>127.9</v>
      </c>
      <c r="AV71">
        <v>128.30000000000001</v>
      </c>
      <c r="AW71">
        <v>128.69999999999999</v>
      </c>
      <c r="AX71">
        <v>129.1</v>
      </c>
      <c r="AY71">
        <v>129.6</v>
      </c>
      <c r="AZ71">
        <v>130</v>
      </c>
      <c r="BA71">
        <v>130.19999999999999</v>
      </c>
      <c r="BB71">
        <v>130.5</v>
      </c>
      <c r="BC71">
        <v>130.80000000000001</v>
      </c>
      <c r="BD71">
        <v>131.19999999999999</v>
      </c>
      <c r="BE71">
        <v>131.5</v>
      </c>
      <c r="BF71">
        <v>131.5</v>
      </c>
      <c r="BG71">
        <v>131.6</v>
      </c>
      <c r="BH71">
        <v>132.69999999999999</v>
      </c>
      <c r="BI71">
        <v>133.30000000000001</v>
      </c>
      <c r="BJ71">
        <v>134</v>
      </c>
      <c r="BK71">
        <v>135</v>
      </c>
      <c r="BL71">
        <v>135.6</v>
      </c>
      <c r="BM71">
        <v>136</v>
      </c>
      <c r="BN71">
        <v>136.30000000000001</v>
      </c>
      <c r="BO71">
        <v>136.69999999999999</v>
      </c>
      <c r="BP71">
        <v>137.80000000000001</v>
      </c>
      <c r="BQ71">
        <v>138.6</v>
      </c>
      <c r="BR71">
        <v>138.9</v>
      </c>
      <c r="BS71">
        <v>139.6</v>
      </c>
      <c r="BT71">
        <v>140</v>
      </c>
      <c r="BU71">
        <v>140.80000000000001</v>
      </c>
      <c r="BV71">
        <v>141.5</v>
      </c>
      <c r="BW71">
        <v>142.4</v>
      </c>
      <c r="BX71">
        <v>142.69999999999999</v>
      </c>
      <c r="BY71">
        <v>143</v>
      </c>
      <c r="BZ71">
        <v>143.30000000000001</v>
      </c>
      <c r="CA71">
        <v>143.5</v>
      </c>
      <c r="CB71">
        <v>144</v>
      </c>
      <c r="CC71">
        <v>144.30000000000001</v>
      </c>
      <c r="CD71">
        <v>144.69999999999999</v>
      </c>
      <c r="CE71">
        <v>145</v>
      </c>
      <c r="CF71">
        <v>145.30000000000001</v>
      </c>
      <c r="CG71">
        <v>145.9</v>
      </c>
      <c r="CH71">
        <v>146.30000000000001</v>
      </c>
      <c r="CI71">
        <v>146.80000000000001</v>
      </c>
      <c r="CJ71">
        <v>147</v>
      </c>
      <c r="CK71">
        <v>147.30000000000001</v>
      </c>
      <c r="CL71">
        <v>147.69999999999999</v>
      </c>
      <c r="CM71" t="s">
        <v>32</v>
      </c>
      <c r="CN71" t="s">
        <v>32</v>
      </c>
      <c r="CO71">
        <v>149.1</v>
      </c>
      <c r="CP71">
        <v>149.1</v>
      </c>
      <c r="CQ71">
        <v>150</v>
      </c>
      <c r="CR71">
        <v>150.19999999999999</v>
      </c>
      <c r="CS71">
        <v>150.5</v>
      </c>
      <c r="CT71">
        <v>151.1</v>
      </c>
      <c r="CU71">
        <v>151.9</v>
      </c>
      <c r="CV71">
        <v>152.5</v>
      </c>
      <c r="CW71">
        <v>154.19999999999999</v>
      </c>
      <c r="CX71">
        <v>155.1</v>
      </c>
      <c r="CY71">
        <v>155.9</v>
      </c>
      <c r="CZ71">
        <v>156.5</v>
      </c>
      <c r="DA71">
        <v>157.30000000000001</v>
      </c>
      <c r="DB71">
        <v>157.9</v>
      </c>
      <c r="DC71">
        <v>159.80000000000001</v>
      </c>
      <c r="DD71">
        <v>159.80000000000001</v>
      </c>
      <c r="DE71">
        <v>160.80000000000001</v>
      </c>
      <c r="DF71">
        <v>162.30000000000001</v>
      </c>
      <c r="DG71">
        <v>163.30000000000001</v>
      </c>
      <c r="DH71">
        <v>164.7</v>
      </c>
      <c r="DI71">
        <v>165.7</v>
      </c>
      <c r="DJ71">
        <v>167.1</v>
      </c>
      <c r="DK71">
        <v>168.4</v>
      </c>
      <c r="DL71">
        <v>170</v>
      </c>
      <c r="DM71">
        <v>171.6</v>
      </c>
      <c r="DN71">
        <v>172.7</v>
      </c>
      <c r="DO71">
        <v>173.7</v>
      </c>
      <c r="DP71">
        <v>175</v>
      </c>
      <c r="DQ71">
        <v>175.5</v>
      </c>
      <c r="DR71">
        <v>176.7</v>
      </c>
      <c r="DS71">
        <v>177.7</v>
      </c>
      <c r="DT71">
        <v>178.7</v>
      </c>
      <c r="DU71">
        <v>180.3</v>
      </c>
      <c r="DV71">
        <v>180.2</v>
      </c>
      <c r="DW71">
        <v>181</v>
      </c>
      <c r="DX71">
        <v>181.3</v>
      </c>
    </row>
    <row r="72" spans="1:128" x14ac:dyDescent="0.3">
      <c r="A72" t="s">
        <v>18</v>
      </c>
      <c r="B72" t="s">
        <v>17</v>
      </c>
      <c r="C72" s="10" t="s">
        <v>33</v>
      </c>
      <c r="E72">
        <v>105</v>
      </c>
      <c r="F72">
        <v>105.5</v>
      </c>
      <c r="G72">
        <v>106</v>
      </c>
      <c r="H72">
        <v>106.4</v>
      </c>
      <c r="I72">
        <v>106.7</v>
      </c>
      <c r="J72">
        <v>107.2</v>
      </c>
      <c r="K72">
        <v>107.8</v>
      </c>
      <c r="L72">
        <v>108.3</v>
      </c>
      <c r="M72">
        <v>109</v>
      </c>
      <c r="N72">
        <v>109.7</v>
      </c>
      <c r="O72">
        <v>110.3</v>
      </c>
      <c r="P72">
        <v>110.9</v>
      </c>
      <c r="Q72">
        <v>111.3</v>
      </c>
      <c r="R72">
        <v>111.7</v>
      </c>
      <c r="S72">
        <v>112.1</v>
      </c>
      <c r="T72">
        <v>112.5</v>
      </c>
      <c r="U72">
        <v>112.9</v>
      </c>
      <c r="V72">
        <v>113.2</v>
      </c>
      <c r="W72">
        <v>113.6</v>
      </c>
      <c r="X72">
        <v>114.1</v>
      </c>
      <c r="Y72">
        <v>114.5</v>
      </c>
      <c r="Z72">
        <v>114.9</v>
      </c>
      <c r="AA72">
        <v>115.4</v>
      </c>
      <c r="AB72">
        <v>115.8</v>
      </c>
      <c r="AC72">
        <v>116.1</v>
      </c>
      <c r="AD72">
        <v>116.5</v>
      </c>
      <c r="AE72">
        <v>116.9</v>
      </c>
      <c r="AF72">
        <v>117.2</v>
      </c>
      <c r="AG72">
        <v>117.4</v>
      </c>
      <c r="AH72">
        <v>117.6</v>
      </c>
      <c r="AI72">
        <v>117.9</v>
      </c>
      <c r="AJ72">
        <v>118.2</v>
      </c>
      <c r="AK72">
        <v>118.6</v>
      </c>
      <c r="AL72">
        <v>118.8</v>
      </c>
      <c r="AM72">
        <v>119.3</v>
      </c>
      <c r="AN72">
        <v>119.5</v>
      </c>
      <c r="AO72">
        <v>119.8</v>
      </c>
      <c r="AP72">
        <v>120.1</v>
      </c>
      <c r="AQ72">
        <v>120.3</v>
      </c>
      <c r="AR72">
        <v>120.5</v>
      </c>
      <c r="AS72">
        <v>120.7</v>
      </c>
      <c r="AT72">
        <v>121.1</v>
      </c>
      <c r="AU72">
        <v>121.1</v>
      </c>
      <c r="AV72">
        <v>121.4</v>
      </c>
      <c r="AW72">
        <v>121.6</v>
      </c>
      <c r="AX72">
        <v>121.9</v>
      </c>
      <c r="AY72">
        <v>122.1</v>
      </c>
      <c r="AZ72">
        <v>122.2</v>
      </c>
      <c r="BA72">
        <v>122.3</v>
      </c>
      <c r="BB72">
        <v>122.5</v>
      </c>
      <c r="BC72">
        <v>122.8</v>
      </c>
      <c r="BD72">
        <v>123</v>
      </c>
      <c r="BE72">
        <v>123.2</v>
      </c>
      <c r="BF72">
        <v>123.2</v>
      </c>
      <c r="BG72">
        <v>123.7</v>
      </c>
      <c r="BH72">
        <v>124.3</v>
      </c>
      <c r="BI72">
        <v>124.6</v>
      </c>
      <c r="BJ72">
        <v>124.9</v>
      </c>
      <c r="BK72">
        <v>125.4</v>
      </c>
      <c r="BL72">
        <v>125.6</v>
      </c>
      <c r="BM72">
        <v>125.9</v>
      </c>
      <c r="BN72">
        <v>126.1</v>
      </c>
      <c r="BO72">
        <v>126.7</v>
      </c>
      <c r="BP72">
        <v>127.4</v>
      </c>
      <c r="BQ72">
        <v>127.9</v>
      </c>
      <c r="BR72">
        <v>128.69999999999999</v>
      </c>
      <c r="BS72">
        <v>128.9</v>
      </c>
      <c r="BT72">
        <v>129</v>
      </c>
      <c r="BU72">
        <v>129.30000000000001</v>
      </c>
      <c r="BV72">
        <v>129.80000000000001</v>
      </c>
      <c r="BW72">
        <v>130.19999999999999</v>
      </c>
      <c r="BX72">
        <v>130.30000000000001</v>
      </c>
      <c r="BY72">
        <v>130.4</v>
      </c>
      <c r="BZ72">
        <v>130.80000000000001</v>
      </c>
      <c r="CA72">
        <v>131.19999999999999</v>
      </c>
      <c r="CB72">
        <v>131.69999999999999</v>
      </c>
      <c r="CC72">
        <v>131.69999999999999</v>
      </c>
      <c r="CD72">
        <v>131.9</v>
      </c>
      <c r="CE72">
        <v>132.19999999999999</v>
      </c>
      <c r="CF72">
        <v>132.19999999999999</v>
      </c>
      <c r="CG72">
        <v>132.4</v>
      </c>
      <c r="CH72">
        <v>132.6</v>
      </c>
      <c r="CI72">
        <v>132.80000000000001</v>
      </c>
      <c r="CJ72">
        <v>133.19999999999999</v>
      </c>
      <c r="CK72">
        <v>133.5</v>
      </c>
      <c r="CL72">
        <v>133.80000000000001</v>
      </c>
      <c r="CM72" t="s">
        <v>32</v>
      </c>
      <c r="CN72" t="s">
        <v>32</v>
      </c>
      <c r="CO72">
        <v>136.6</v>
      </c>
      <c r="CP72">
        <v>136.6</v>
      </c>
      <c r="CQ72">
        <v>135.19999999999999</v>
      </c>
      <c r="CR72">
        <v>136.30000000000001</v>
      </c>
      <c r="CS72">
        <v>136.1</v>
      </c>
      <c r="CT72">
        <v>136.4</v>
      </c>
      <c r="CU72">
        <v>136.69999999999999</v>
      </c>
      <c r="CV72">
        <v>137.30000000000001</v>
      </c>
      <c r="CW72">
        <v>138.19999999999999</v>
      </c>
      <c r="CX72">
        <v>138.69999999999999</v>
      </c>
      <c r="CY72">
        <v>139.30000000000001</v>
      </c>
      <c r="CZ72">
        <v>140.19999999999999</v>
      </c>
      <c r="DA72">
        <v>140.5</v>
      </c>
      <c r="DB72">
        <v>141.9</v>
      </c>
      <c r="DC72">
        <v>143.6</v>
      </c>
      <c r="DD72">
        <v>143.6</v>
      </c>
      <c r="DE72">
        <v>144.4</v>
      </c>
      <c r="DF72">
        <v>145.30000000000001</v>
      </c>
      <c r="DG72">
        <v>146.69999999999999</v>
      </c>
      <c r="DH72">
        <v>148.5</v>
      </c>
      <c r="DI72">
        <v>150.4</v>
      </c>
      <c r="DJ72">
        <v>152.6</v>
      </c>
      <c r="DK72">
        <v>154.5</v>
      </c>
      <c r="DL72">
        <v>155.9</v>
      </c>
      <c r="DM72">
        <v>157.4</v>
      </c>
      <c r="DN72">
        <v>158.69999999999999</v>
      </c>
      <c r="DO72">
        <v>160</v>
      </c>
      <c r="DP72">
        <v>161.69999999999999</v>
      </c>
      <c r="DQ72">
        <v>162.6</v>
      </c>
      <c r="DR72">
        <v>163.5</v>
      </c>
      <c r="DS72">
        <v>164.5</v>
      </c>
      <c r="DT72">
        <v>165.3</v>
      </c>
      <c r="DU72">
        <v>167</v>
      </c>
      <c r="DV72">
        <v>167</v>
      </c>
      <c r="DW72">
        <v>167.7</v>
      </c>
      <c r="DX72">
        <v>168.1</v>
      </c>
    </row>
    <row r="73" spans="1:128" x14ac:dyDescent="0.3">
      <c r="A73" t="s">
        <v>19</v>
      </c>
      <c r="B73" t="s">
        <v>17</v>
      </c>
      <c r="C73" s="10" t="s">
        <v>33</v>
      </c>
      <c r="E73">
        <v>105.8</v>
      </c>
      <c r="F73">
        <v>106.4</v>
      </c>
      <c r="G73">
        <v>107</v>
      </c>
      <c r="H73">
        <v>107.7</v>
      </c>
      <c r="I73">
        <v>108.3</v>
      </c>
      <c r="J73">
        <v>108.9</v>
      </c>
      <c r="K73">
        <v>109.5</v>
      </c>
      <c r="L73">
        <v>110.2</v>
      </c>
      <c r="M73">
        <v>111.1</v>
      </c>
      <c r="N73">
        <v>112</v>
      </c>
      <c r="O73">
        <v>113</v>
      </c>
      <c r="P73">
        <v>113.7</v>
      </c>
      <c r="Q73">
        <v>114.3</v>
      </c>
      <c r="R73">
        <v>114.7</v>
      </c>
      <c r="S73">
        <v>115.2</v>
      </c>
      <c r="T73">
        <v>115.7</v>
      </c>
      <c r="U73">
        <v>116.2</v>
      </c>
      <c r="V73">
        <v>116.7</v>
      </c>
      <c r="W73">
        <v>117.4</v>
      </c>
      <c r="X73">
        <v>117.9</v>
      </c>
      <c r="Y73">
        <v>118.4</v>
      </c>
      <c r="Z73">
        <v>118.9</v>
      </c>
      <c r="AA73">
        <v>119.5</v>
      </c>
      <c r="AB73">
        <v>120</v>
      </c>
      <c r="AC73">
        <v>120.2</v>
      </c>
      <c r="AD73">
        <v>120.6</v>
      </c>
      <c r="AE73">
        <v>120.9</v>
      </c>
      <c r="AF73">
        <v>121.3</v>
      </c>
      <c r="AG73">
        <v>121.6</v>
      </c>
      <c r="AH73">
        <v>122.3</v>
      </c>
      <c r="AI73">
        <v>122.7</v>
      </c>
      <c r="AJ73">
        <v>122.9</v>
      </c>
      <c r="AK73">
        <v>123.2</v>
      </c>
      <c r="AL73">
        <v>123.6</v>
      </c>
      <c r="AM73">
        <v>124.2</v>
      </c>
      <c r="AN73">
        <v>124.5</v>
      </c>
      <c r="AO73">
        <v>124.9</v>
      </c>
      <c r="AP73">
        <v>125.3</v>
      </c>
      <c r="AQ73">
        <v>125.5</v>
      </c>
      <c r="AR73">
        <v>125.8</v>
      </c>
      <c r="AS73">
        <v>126.2</v>
      </c>
      <c r="AT73">
        <v>126.6</v>
      </c>
      <c r="AU73">
        <v>126.9</v>
      </c>
      <c r="AV73">
        <v>127.3</v>
      </c>
      <c r="AW73">
        <v>127.7</v>
      </c>
      <c r="AX73">
        <v>128</v>
      </c>
      <c r="AY73">
        <v>128.5</v>
      </c>
      <c r="AZ73">
        <v>128.80000000000001</v>
      </c>
      <c r="BA73">
        <v>129</v>
      </c>
      <c r="BB73">
        <v>129.30000000000001</v>
      </c>
      <c r="BC73">
        <v>129.6</v>
      </c>
      <c r="BD73">
        <v>130</v>
      </c>
      <c r="BE73">
        <v>130.19999999999999</v>
      </c>
      <c r="BF73">
        <v>130.19999999999999</v>
      </c>
      <c r="BG73">
        <v>130.4</v>
      </c>
      <c r="BH73">
        <v>131.4</v>
      </c>
      <c r="BI73">
        <v>132</v>
      </c>
      <c r="BJ73">
        <v>132.6</v>
      </c>
      <c r="BK73">
        <v>133.5</v>
      </c>
      <c r="BL73">
        <v>134</v>
      </c>
      <c r="BM73">
        <v>134.4</v>
      </c>
      <c r="BN73">
        <v>134.69999999999999</v>
      </c>
      <c r="BO73">
        <v>135.19999999999999</v>
      </c>
      <c r="BP73">
        <v>136.19999999999999</v>
      </c>
      <c r="BQ73">
        <v>137</v>
      </c>
      <c r="BR73">
        <v>137.4</v>
      </c>
      <c r="BS73">
        <v>137.9</v>
      </c>
      <c r="BT73">
        <v>138.30000000000001</v>
      </c>
      <c r="BU73">
        <v>139.1</v>
      </c>
      <c r="BV73">
        <v>139.69999999999999</v>
      </c>
      <c r="BW73">
        <v>140.5</v>
      </c>
      <c r="BX73">
        <v>140.80000000000001</v>
      </c>
      <c r="BY73">
        <v>141.1</v>
      </c>
      <c r="BZ73">
        <v>141.4</v>
      </c>
      <c r="CA73">
        <v>141.6</v>
      </c>
      <c r="CB73">
        <v>142.19999999999999</v>
      </c>
      <c r="CC73">
        <v>142.4</v>
      </c>
      <c r="CD73">
        <v>142.69999999999999</v>
      </c>
      <c r="CE73">
        <v>143</v>
      </c>
      <c r="CF73">
        <v>143.30000000000001</v>
      </c>
      <c r="CG73">
        <v>143.9</v>
      </c>
      <c r="CH73">
        <v>144.19999999999999</v>
      </c>
      <c r="CI73">
        <v>144.6</v>
      </c>
      <c r="CJ73">
        <v>144.9</v>
      </c>
      <c r="CK73">
        <v>145.19999999999999</v>
      </c>
      <c r="CL73">
        <v>145.6</v>
      </c>
      <c r="CM73" t="s">
        <v>32</v>
      </c>
      <c r="CN73" t="s">
        <v>32</v>
      </c>
      <c r="CO73">
        <v>147.19999999999999</v>
      </c>
      <c r="CP73">
        <v>147.19999999999999</v>
      </c>
      <c r="CQ73">
        <v>147.80000000000001</v>
      </c>
      <c r="CR73">
        <v>148.1</v>
      </c>
      <c r="CS73">
        <v>148.30000000000001</v>
      </c>
      <c r="CT73">
        <v>148.80000000000001</v>
      </c>
      <c r="CU73">
        <v>149.6</v>
      </c>
      <c r="CV73">
        <v>150.19999999999999</v>
      </c>
      <c r="CW73">
        <v>151.80000000000001</v>
      </c>
      <c r="CX73">
        <v>152.6</v>
      </c>
      <c r="CY73">
        <v>153.4</v>
      </c>
      <c r="CZ73">
        <v>154.1</v>
      </c>
      <c r="DA73">
        <v>154.80000000000001</v>
      </c>
      <c r="DB73">
        <v>155.5</v>
      </c>
      <c r="DC73">
        <v>157.30000000000001</v>
      </c>
      <c r="DD73">
        <v>157.4</v>
      </c>
      <c r="DE73">
        <v>158.30000000000001</v>
      </c>
      <c r="DF73">
        <v>159.69999999999999</v>
      </c>
      <c r="DG73">
        <v>160.69999999999999</v>
      </c>
      <c r="DH73">
        <v>162.19999999999999</v>
      </c>
      <c r="DI73">
        <v>163.4</v>
      </c>
      <c r="DJ73">
        <v>164.9</v>
      </c>
      <c r="DK73">
        <v>166.3</v>
      </c>
      <c r="DL73">
        <v>167.8</v>
      </c>
      <c r="DM73">
        <v>169.4</v>
      </c>
      <c r="DN73">
        <v>170.6</v>
      </c>
      <c r="DO73">
        <v>171.6</v>
      </c>
      <c r="DP73">
        <v>173</v>
      </c>
      <c r="DQ73">
        <v>173.6</v>
      </c>
      <c r="DR73">
        <v>174.7</v>
      </c>
      <c r="DS73">
        <v>175.7</v>
      </c>
      <c r="DT73">
        <v>176.6</v>
      </c>
      <c r="DU73">
        <v>178.2</v>
      </c>
      <c r="DV73">
        <v>178.2</v>
      </c>
      <c r="DW73">
        <v>178.9</v>
      </c>
      <c r="DX73">
        <v>179.3</v>
      </c>
    </row>
    <row r="74" spans="1:128" x14ac:dyDescent="0.3">
      <c r="A74" t="s">
        <v>20</v>
      </c>
      <c r="B74" t="s">
        <v>20</v>
      </c>
      <c r="C74" s="10" t="s">
        <v>33</v>
      </c>
      <c r="E74">
        <v>100.3</v>
      </c>
      <c r="F74">
        <v>100.4</v>
      </c>
      <c r="G74">
        <v>100.4</v>
      </c>
      <c r="H74">
        <v>100.5</v>
      </c>
      <c r="I74">
        <v>100.5</v>
      </c>
      <c r="J74">
        <v>106.6</v>
      </c>
      <c r="K74">
        <v>107.7</v>
      </c>
      <c r="L74">
        <v>108.9</v>
      </c>
      <c r="M74">
        <v>109.7</v>
      </c>
      <c r="N74">
        <v>110.5</v>
      </c>
      <c r="O74">
        <v>111.1</v>
      </c>
      <c r="P74">
        <v>110.7</v>
      </c>
      <c r="Q74">
        <v>111.6</v>
      </c>
      <c r="R74">
        <v>112.5</v>
      </c>
      <c r="S74">
        <v>113.2</v>
      </c>
      <c r="T74">
        <v>113.9</v>
      </c>
      <c r="U74">
        <v>114.3</v>
      </c>
      <c r="V74">
        <v>113.9</v>
      </c>
      <c r="W74">
        <v>114.8</v>
      </c>
      <c r="X74">
        <v>115.5</v>
      </c>
      <c r="Y74">
        <v>116.1</v>
      </c>
      <c r="Z74">
        <v>116.7</v>
      </c>
      <c r="AA74">
        <v>117.1</v>
      </c>
      <c r="AB74">
        <v>116.5</v>
      </c>
      <c r="AC74">
        <v>117.3</v>
      </c>
      <c r="AD74">
        <v>118.1</v>
      </c>
      <c r="AE74">
        <v>118.6</v>
      </c>
      <c r="AF74">
        <v>119.2</v>
      </c>
      <c r="AG74">
        <v>119.6</v>
      </c>
      <c r="AH74">
        <v>119</v>
      </c>
      <c r="AI74">
        <v>119.9</v>
      </c>
      <c r="AJ74">
        <v>120.9</v>
      </c>
      <c r="AK74">
        <v>121.6</v>
      </c>
      <c r="AL74">
        <v>122.4</v>
      </c>
      <c r="AM74">
        <v>122.9</v>
      </c>
      <c r="AN74">
        <v>122.4</v>
      </c>
      <c r="AO74">
        <v>123.4</v>
      </c>
      <c r="AP74">
        <v>124.4</v>
      </c>
      <c r="AQ74">
        <v>124.9</v>
      </c>
      <c r="AR74">
        <v>125.6</v>
      </c>
      <c r="AS74">
        <v>126</v>
      </c>
      <c r="AT74">
        <v>125.5</v>
      </c>
      <c r="AU74">
        <v>126.4</v>
      </c>
      <c r="AV74">
        <v>127.3</v>
      </c>
      <c r="AW74">
        <v>127.9</v>
      </c>
      <c r="AX74">
        <v>128.69999999999999</v>
      </c>
      <c r="AY74">
        <v>129.1</v>
      </c>
      <c r="AZ74">
        <v>128.5</v>
      </c>
      <c r="BA74">
        <v>129.6</v>
      </c>
      <c r="BB74">
        <v>130.5</v>
      </c>
      <c r="BC74">
        <v>131.1</v>
      </c>
      <c r="BD74">
        <v>131.69999999999999</v>
      </c>
      <c r="BE74">
        <v>132.1</v>
      </c>
      <c r="BF74">
        <v>131.4</v>
      </c>
      <c r="BG74">
        <v>132.6</v>
      </c>
      <c r="BH74">
        <v>134.4</v>
      </c>
      <c r="BI74">
        <v>135.69999999999999</v>
      </c>
      <c r="BJ74">
        <v>137.30000000000001</v>
      </c>
      <c r="BK74">
        <v>138.6</v>
      </c>
      <c r="BL74">
        <v>139.1</v>
      </c>
      <c r="BM74">
        <v>140.4</v>
      </c>
      <c r="BN74">
        <v>141.30000000000001</v>
      </c>
      <c r="BO74">
        <v>142</v>
      </c>
      <c r="BP74">
        <v>142.9</v>
      </c>
      <c r="BQ74">
        <v>143.19999999999999</v>
      </c>
      <c r="BR74">
        <v>142.5</v>
      </c>
      <c r="BS74">
        <v>143.6</v>
      </c>
      <c r="BT74">
        <v>144.6</v>
      </c>
      <c r="BU74">
        <v>145.30000000000001</v>
      </c>
      <c r="BV74">
        <v>146.30000000000001</v>
      </c>
      <c r="BW74">
        <v>146.9</v>
      </c>
      <c r="BX74">
        <v>146.5</v>
      </c>
      <c r="BY74">
        <v>147.69999999999999</v>
      </c>
      <c r="BZ74">
        <v>148.5</v>
      </c>
      <c r="CA74">
        <v>149</v>
      </c>
      <c r="CB74">
        <v>150.1</v>
      </c>
      <c r="CC74">
        <v>149.4</v>
      </c>
      <c r="CD74">
        <v>150.6</v>
      </c>
      <c r="CE74">
        <v>151.6</v>
      </c>
      <c r="CF74">
        <v>152.19999999999999</v>
      </c>
      <c r="CG74">
        <v>153</v>
      </c>
      <c r="CH74">
        <v>153.5</v>
      </c>
      <c r="CI74">
        <v>152.80000000000001</v>
      </c>
      <c r="CJ74">
        <v>153.9</v>
      </c>
      <c r="CK74">
        <v>154.80000000000001</v>
      </c>
      <c r="CL74">
        <v>154.5</v>
      </c>
      <c r="CM74">
        <v>155.6</v>
      </c>
      <c r="CN74" t="s">
        <v>32</v>
      </c>
      <c r="CO74">
        <v>154.69999999999999</v>
      </c>
      <c r="CP74">
        <v>154.69999999999999</v>
      </c>
      <c r="CQ74">
        <v>155.5</v>
      </c>
      <c r="CR74">
        <v>156.30000000000001</v>
      </c>
      <c r="CS74">
        <v>156.5</v>
      </c>
      <c r="CT74">
        <v>158</v>
      </c>
      <c r="CU74">
        <v>158.4</v>
      </c>
      <c r="CV74">
        <v>157.69999999999999</v>
      </c>
      <c r="CW74">
        <v>159.80000000000001</v>
      </c>
      <c r="CX74">
        <v>159.9</v>
      </c>
      <c r="CY74">
        <v>161.4</v>
      </c>
      <c r="CZ74">
        <v>161.6</v>
      </c>
      <c r="DA74">
        <v>160.5</v>
      </c>
      <c r="DB74">
        <v>161.5</v>
      </c>
      <c r="DC74">
        <v>162.1</v>
      </c>
      <c r="DD74">
        <v>162.1</v>
      </c>
      <c r="DE74">
        <v>163.6</v>
      </c>
      <c r="DF74">
        <v>164.2</v>
      </c>
      <c r="DG74">
        <v>163.4</v>
      </c>
      <c r="DH74">
        <v>164.5</v>
      </c>
      <c r="DI74">
        <v>165.5</v>
      </c>
      <c r="DJ74">
        <v>165.3</v>
      </c>
      <c r="DK74">
        <v>167</v>
      </c>
      <c r="DL74">
        <v>167.5</v>
      </c>
      <c r="DM74">
        <v>166.8</v>
      </c>
      <c r="DN74">
        <v>167.8</v>
      </c>
      <c r="DO74">
        <v>169</v>
      </c>
      <c r="DP74">
        <v>169.5</v>
      </c>
      <c r="DQ74">
        <v>171.2</v>
      </c>
      <c r="DR74">
        <v>171.8</v>
      </c>
      <c r="DS74">
        <v>170.7</v>
      </c>
      <c r="DT74">
        <v>172.1</v>
      </c>
      <c r="DU74">
        <v>173.5</v>
      </c>
      <c r="DV74">
        <v>173.5</v>
      </c>
      <c r="DW74">
        <v>175.2</v>
      </c>
      <c r="DX74">
        <v>175.6</v>
      </c>
    </row>
    <row r="75" spans="1:128" x14ac:dyDescent="0.3">
      <c r="A75" t="s">
        <v>21</v>
      </c>
      <c r="B75" t="s">
        <v>68</v>
      </c>
      <c r="C75" s="10" t="s">
        <v>33</v>
      </c>
      <c r="E75">
        <v>105.4</v>
      </c>
      <c r="F75">
        <v>105.7</v>
      </c>
      <c r="G75">
        <v>106</v>
      </c>
      <c r="H75">
        <v>106.4</v>
      </c>
      <c r="I75">
        <v>107.2</v>
      </c>
      <c r="J75">
        <v>108</v>
      </c>
      <c r="K75">
        <v>108.6</v>
      </c>
      <c r="L75">
        <v>109.3</v>
      </c>
      <c r="M75">
        <v>109.5</v>
      </c>
      <c r="N75">
        <v>109.7</v>
      </c>
      <c r="O75">
        <v>110</v>
      </c>
      <c r="P75">
        <v>110.4</v>
      </c>
      <c r="Q75">
        <v>111</v>
      </c>
      <c r="R75">
        <v>111.1</v>
      </c>
      <c r="S75">
        <v>110.9</v>
      </c>
      <c r="T75">
        <v>110.9</v>
      </c>
      <c r="U75">
        <v>111.1</v>
      </c>
      <c r="V75">
        <v>111.2</v>
      </c>
      <c r="W75">
        <v>111.6</v>
      </c>
      <c r="X75">
        <v>111.8</v>
      </c>
      <c r="Y75">
        <v>111.8</v>
      </c>
      <c r="Z75">
        <v>112</v>
      </c>
      <c r="AA75">
        <v>112.6</v>
      </c>
      <c r="AB75">
        <v>113</v>
      </c>
      <c r="AC75">
        <v>113.4</v>
      </c>
      <c r="AD75">
        <v>114</v>
      </c>
      <c r="AE75">
        <v>114.4</v>
      </c>
      <c r="AF75">
        <v>114.7</v>
      </c>
      <c r="AG75">
        <v>114.9</v>
      </c>
      <c r="AH75">
        <v>115.1</v>
      </c>
      <c r="AI75">
        <v>115.3</v>
      </c>
      <c r="AJ75">
        <v>115.3</v>
      </c>
      <c r="AK75">
        <v>115.1</v>
      </c>
      <c r="AL75">
        <v>114.9</v>
      </c>
      <c r="AM75">
        <v>115.1</v>
      </c>
      <c r="AN75">
        <v>116</v>
      </c>
      <c r="AO75">
        <v>116.9</v>
      </c>
      <c r="AP75">
        <v>116</v>
      </c>
      <c r="AQ75">
        <v>114.8</v>
      </c>
      <c r="AR75">
        <v>114.6</v>
      </c>
      <c r="AS75">
        <v>115</v>
      </c>
      <c r="AT75">
        <v>115.5</v>
      </c>
      <c r="AU75">
        <v>115.5</v>
      </c>
      <c r="AV75">
        <v>114.7</v>
      </c>
      <c r="AW75">
        <v>114.8</v>
      </c>
      <c r="AX75">
        <v>115.2</v>
      </c>
      <c r="AY75">
        <v>116.2</v>
      </c>
      <c r="AZ75">
        <v>117.8</v>
      </c>
      <c r="BA75">
        <v>118</v>
      </c>
      <c r="BB75">
        <v>119.2</v>
      </c>
      <c r="BC75">
        <v>120.8</v>
      </c>
      <c r="BD75">
        <v>121.4</v>
      </c>
      <c r="BE75">
        <v>120.1</v>
      </c>
      <c r="BF75">
        <v>119</v>
      </c>
      <c r="BG75">
        <v>119.7</v>
      </c>
      <c r="BH75">
        <v>118.9</v>
      </c>
      <c r="BI75">
        <v>120.6</v>
      </c>
      <c r="BJ75">
        <v>122.6</v>
      </c>
      <c r="BK75">
        <v>125.7</v>
      </c>
      <c r="BL75">
        <v>126.8</v>
      </c>
      <c r="BM75">
        <v>127.3</v>
      </c>
      <c r="BN75">
        <v>127.3</v>
      </c>
      <c r="BO75">
        <v>126.4</v>
      </c>
      <c r="BP75">
        <v>124.6</v>
      </c>
      <c r="BQ75">
        <v>124.7</v>
      </c>
      <c r="BR75">
        <v>126.5</v>
      </c>
      <c r="BS75">
        <v>128.1</v>
      </c>
      <c r="BT75">
        <v>129.80000000000001</v>
      </c>
      <c r="BU75">
        <v>131.19999999999999</v>
      </c>
      <c r="BV75">
        <v>133.4</v>
      </c>
      <c r="BW75">
        <v>136.69999999999999</v>
      </c>
      <c r="BX75">
        <v>132.4</v>
      </c>
      <c r="BY75">
        <v>128.6</v>
      </c>
      <c r="BZ75">
        <v>127.1</v>
      </c>
      <c r="CA75">
        <v>128.80000000000001</v>
      </c>
      <c r="CB75">
        <v>129.4</v>
      </c>
      <c r="CC75">
        <v>130.5</v>
      </c>
      <c r="CD75">
        <v>127</v>
      </c>
      <c r="CE75">
        <v>125.5</v>
      </c>
      <c r="CF75">
        <v>126.6</v>
      </c>
      <c r="CG75">
        <v>128.9</v>
      </c>
      <c r="CH75">
        <v>132.19999999999999</v>
      </c>
      <c r="CI75">
        <v>133.6</v>
      </c>
      <c r="CJ75">
        <v>135.1</v>
      </c>
      <c r="CK75">
        <v>138.9</v>
      </c>
      <c r="CL75">
        <v>141.4</v>
      </c>
      <c r="CM75">
        <v>137.1</v>
      </c>
      <c r="CN75" t="s">
        <v>32</v>
      </c>
      <c r="CO75">
        <v>137.1</v>
      </c>
      <c r="CP75">
        <v>137.1</v>
      </c>
      <c r="CQ75">
        <v>138.30000000000001</v>
      </c>
      <c r="CR75">
        <v>137.19999999999999</v>
      </c>
      <c r="CS75">
        <v>137.1</v>
      </c>
      <c r="CT75">
        <v>137.30000000000001</v>
      </c>
      <c r="CU75">
        <v>137.9</v>
      </c>
      <c r="CV75">
        <v>142.9</v>
      </c>
      <c r="CW75">
        <v>149.1</v>
      </c>
      <c r="CX75">
        <v>154.80000000000001</v>
      </c>
      <c r="CY75">
        <v>154.9</v>
      </c>
      <c r="CZ75">
        <v>155.5</v>
      </c>
      <c r="DA75">
        <v>156.1</v>
      </c>
      <c r="DB75">
        <v>157.69999999999999</v>
      </c>
      <c r="DC75">
        <v>160.69999999999999</v>
      </c>
      <c r="DD75">
        <v>160.80000000000001</v>
      </c>
      <c r="DE75">
        <v>162.19999999999999</v>
      </c>
      <c r="DF75">
        <v>161.6</v>
      </c>
      <c r="DG75">
        <v>161.69999999999999</v>
      </c>
      <c r="DH75">
        <v>161.6</v>
      </c>
      <c r="DI75">
        <v>163</v>
      </c>
      <c r="DJ75">
        <v>164.5</v>
      </c>
      <c r="DK75">
        <v>170.5</v>
      </c>
      <c r="DL75">
        <v>173.5</v>
      </c>
      <c r="DM75">
        <v>174.9</v>
      </c>
      <c r="DN75">
        <v>179.5</v>
      </c>
      <c r="DO75">
        <v>178.4</v>
      </c>
      <c r="DP75">
        <v>179.2</v>
      </c>
      <c r="DQ75">
        <v>180</v>
      </c>
      <c r="DR75">
        <v>180.3</v>
      </c>
      <c r="DS75">
        <v>180.6</v>
      </c>
      <c r="DT75">
        <v>180.1</v>
      </c>
      <c r="DU75">
        <v>182.8</v>
      </c>
      <c r="DV75">
        <v>182.6</v>
      </c>
      <c r="DW75">
        <v>182.1</v>
      </c>
      <c r="DX75">
        <v>183.4</v>
      </c>
    </row>
    <row r="76" spans="1:128" x14ac:dyDescent="0.3">
      <c r="A76" t="s">
        <v>22</v>
      </c>
      <c r="B76" t="s">
        <v>20</v>
      </c>
      <c r="C76" s="10" t="s">
        <v>33</v>
      </c>
      <c r="E76">
        <v>104.8</v>
      </c>
      <c r="F76">
        <v>105.2</v>
      </c>
      <c r="G76">
        <v>105.7</v>
      </c>
      <c r="H76">
        <v>106.5</v>
      </c>
      <c r="I76">
        <v>107.1</v>
      </c>
      <c r="J76">
        <v>107.7</v>
      </c>
      <c r="K76">
        <v>108.1</v>
      </c>
      <c r="L76">
        <v>108.7</v>
      </c>
      <c r="M76">
        <v>109.6</v>
      </c>
      <c r="N76">
        <v>110.2</v>
      </c>
      <c r="O76">
        <v>110.9</v>
      </c>
      <c r="P76">
        <v>111.3</v>
      </c>
      <c r="Q76">
        <v>111.9</v>
      </c>
      <c r="R76">
        <v>112.6</v>
      </c>
      <c r="S76">
        <v>113</v>
      </c>
      <c r="T76">
        <v>113.4</v>
      </c>
      <c r="U76">
        <v>114.1</v>
      </c>
      <c r="V76">
        <v>114.3</v>
      </c>
      <c r="W76">
        <v>114.9</v>
      </c>
      <c r="X76">
        <v>115.3</v>
      </c>
      <c r="Y76">
        <v>115.5</v>
      </c>
      <c r="Z76">
        <v>115.8</v>
      </c>
      <c r="AA76">
        <v>116.4</v>
      </c>
      <c r="AB76">
        <v>116.8</v>
      </c>
      <c r="AC76">
        <v>117.2</v>
      </c>
      <c r="AD76">
        <v>117.7</v>
      </c>
      <c r="AE76">
        <v>118</v>
      </c>
      <c r="AF76">
        <v>118.4</v>
      </c>
      <c r="AG76">
        <v>118.7</v>
      </c>
      <c r="AH76">
        <v>119.2</v>
      </c>
      <c r="AI76">
        <v>119.5</v>
      </c>
      <c r="AJ76">
        <v>120</v>
      </c>
      <c r="AK76">
        <v>120.4</v>
      </c>
      <c r="AL76">
        <v>120.7</v>
      </c>
      <c r="AM76">
        <v>121</v>
      </c>
      <c r="AN76">
        <v>121</v>
      </c>
      <c r="AO76">
        <v>121.6</v>
      </c>
      <c r="AP76">
        <v>121.8</v>
      </c>
      <c r="AQ76">
        <v>122.3</v>
      </c>
      <c r="AR76">
        <v>122.8</v>
      </c>
      <c r="AS76">
        <v>123.2</v>
      </c>
      <c r="AT76">
        <v>123.2</v>
      </c>
      <c r="AU76">
        <v>123.5</v>
      </c>
      <c r="AV76">
        <v>123.9</v>
      </c>
      <c r="AW76">
        <v>124.3</v>
      </c>
      <c r="AX76">
        <v>124.5</v>
      </c>
      <c r="AY76">
        <v>124.7</v>
      </c>
      <c r="AZ76">
        <v>125</v>
      </c>
      <c r="BA76">
        <v>125.1</v>
      </c>
      <c r="BB76">
        <v>125.3</v>
      </c>
      <c r="BC76">
        <v>125.6</v>
      </c>
      <c r="BD76">
        <v>126</v>
      </c>
      <c r="BE76">
        <v>126.5</v>
      </c>
      <c r="BF76">
        <v>126.8</v>
      </c>
      <c r="BG76">
        <v>127.2</v>
      </c>
      <c r="BH76">
        <v>127.7</v>
      </c>
      <c r="BI76">
        <v>128.1</v>
      </c>
      <c r="BJ76">
        <v>128.30000000000001</v>
      </c>
      <c r="BK76">
        <v>128.80000000000001</v>
      </c>
      <c r="BL76">
        <v>129.30000000000001</v>
      </c>
      <c r="BM76">
        <v>129.5</v>
      </c>
      <c r="BN76">
        <v>129.9</v>
      </c>
      <c r="BO76">
        <v>130.80000000000001</v>
      </c>
      <c r="BP76">
        <v>131.80000000000001</v>
      </c>
      <c r="BQ76">
        <v>132.5</v>
      </c>
      <c r="BR76">
        <v>133.1</v>
      </c>
      <c r="BS76">
        <v>133.6</v>
      </c>
      <c r="BT76">
        <v>134.4</v>
      </c>
      <c r="BU76">
        <v>134.9</v>
      </c>
      <c r="BV76">
        <v>135.1</v>
      </c>
      <c r="BW76">
        <v>135.80000000000001</v>
      </c>
      <c r="BX76">
        <v>136.19999999999999</v>
      </c>
      <c r="BY76">
        <v>136.30000000000001</v>
      </c>
      <c r="BZ76">
        <v>136.6</v>
      </c>
      <c r="CA76">
        <v>136.80000000000001</v>
      </c>
      <c r="CB76">
        <v>137.19999999999999</v>
      </c>
      <c r="CC76">
        <v>137.4</v>
      </c>
      <c r="CD76">
        <v>137.69999999999999</v>
      </c>
      <c r="CE76">
        <v>138.1</v>
      </c>
      <c r="CF76">
        <v>138.30000000000001</v>
      </c>
      <c r="CG76">
        <v>138.69999999999999</v>
      </c>
      <c r="CH76">
        <v>139.1</v>
      </c>
      <c r="CI76">
        <v>139.80000000000001</v>
      </c>
      <c r="CJ76">
        <v>140.1</v>
      </c>
      <c r="CK76">
        <v>140.4</v>
      </c>
      <c r="CL76">
        <v>140.80000000000001</v>
      </c>
      <c r="CM76" t="s">
        <v>32</v>
      </c>
      <c r="CN76" t="s">
        <v>32</v>
      </c>
      <c r="CO76">
        <v>140.4</v>
      </c>
      <c r="CP76">
        <v>140.4</v>
      </c>
      <c r="CQ76">
        <v>144.5</v>
      </c>
      <c r="CR76">
        <v>145.4</v>
      </c>
      <c r="CS76">
        <v>145.1</v>
      </c>
      <c r="CT76">
        <v>145.1</v>
      </c>
      <c r="CU76">
        <v>145.5</v>
      </c>
      <c r="CV76">
        <v>145.69999999999999</v>
      </c>
      <c r="CW76">
        <v>146.5</v>
      </c>
      <c r="CX76">
        <v>147.19999999999999</v>
      </c>
      <c r="CY76">
        <v>147.6</v>
      </c>
      <c r="CZ76">
        <v>150.1</v>
      </c>
      <c r="DA76">
        <v>149.80000000000001</v>
      </c>
      <c r="DB76">
        <v>150.69999999999999</v>
      </c>
      <c r="DC76">
        <v>153.19999999999999</v>
      </c>
      <c r="DD76">
        <v>153.30000000000001</v>
      </c>
      <c r="DE76">
        <v>154.30000000000001</v>
      </c>
      <c r="DF76">
        <v>155.19999999999999</v>
      </c>
      <c r="DG76">
        <v>156</v>
      </c>
      <c r="DH76">
        <v>156.80000000000001</v>
      </c>
      <c r="DI76">
        <v>157.4</v>
      </c>
      <c r="DJ76">
        <v>158.6</v>
      </c>
      <c r="DK76">
        <v>159.80000000000001</v>
      </c>
      <c r="DL76">
        <v>161.1</v>
      </c>
      <c r="DM76">
        <v>162.1</v>
      </c>
      <c r="DN76">
        <v>163.1</v>
      </c>
      <c r="DO76">
        <v>164.2</v>
      </c>
      <c r="DP76">
        <v>165</v>
      </c>
      <c r="DQ76">
        <v>166</v>
      </c>
      <c r="DR76">
        <v>166.9</v>
      </c>
      <c r="DS76">
        <v>167.3</v>
      </c>
      <c r="DT76">
        <v>168</v>
      </c>
      <c r="DU76">
        <v>169.2</v>
      </c>
      <c r="DV76">
        <v>169.2</v>
      </c>
      <c r="DW76">
        <v>169.6</v>
      </c>
      <c r="DX76">
        <v>170.1</v>
      </c>
    </row>
    <row r="77" spans="1:128" x14ac:dyDescent="0.3">
      <c r="A77" t="s">
        <v>23</v>
      </c>
      <c r="B77" t="s">
        <v>23</v>
      </c>
      <c r="C77" s="10" t="s">
        <v>33</v>
      </c>
      <c r="E77">
        <v>104.1</v>
      </c>
      <c r="F77">
        <v>104.7</v>
      </c>
      <c r="G77">
        <v>105.2</v>
      </c>
      <c r="H77">
        <v>105.7</v>
      </c>
      <c r="I77">
        <v>106.2</v>
      </c>
      <c r="J77">
        <v>106.5</v>
      </c>
      <c r="K77">
        <v>107.1</v>
      </c>
      <c r="L77">
        <v>107.6</v>
      </c>
      <c r="M77">
        <v>107.9</v>
      </c>
      <c r="N77">
        <v>108.2</v>
      </c>
      <c r="O77">
        <v>108.6</v>
      </c>
      <c r="P77">
        <v>109</v>
      </c>
      <c r="Q77">
        <v>109.7</v>
      </c>
      <c r="R77">
        <v>110.4</v>
      </c>
      <c r="S77">
        <v>110.8</v>
      </c>
      <c r="T77">
        <v>111</v>
      </c>
      <c r="U77">
        <v>111.2</v>
      </c>
      <c r="V77">
        <v>111.4</v>
      </c>
      <c r="W77">
        <v>111.5</v>
      </c>
      <c r="X77">
        <v>112.2</v>
      </c>
      <c r="Y77">
        <v>112.3</v>
      </c>
      <c r="Z77">
        <v>112.6</v>
      </c>
      <c r="AA77">
        <v>113</v>
      </c>
      <c r="AB77">
        <v>113.2</v>
      </c>
      <c r="AC77">
        <v>113.7</v>
      </c>
      <c r="AD77">
        <v>114.1</v>
      </c>
      <c r="AE77">
        <v>114.3</v>
      </c>
      <c r="AF77">
        <v>114.6</v>
      </c>
      <c r="AG77">
        <v>114.9</v>
      </c>
      <c r="AH77">
        <v>115.4</v>
      </c>
      <c r="AI77">
        <v>116</v>
      </c>
      <c r="AJ77">
        <v>116.6</v>
      </c>
      <c r="AK77">
        <v>117.1</v>
      </c>
      <c r="AL77">
        <v>117.7</v>
      </c>
      <c r="AM77">
        <v>118.1</v>
      </c>
      <c r="AN77">
        <v>118.6</v>
      </c>
      <c r="AO77">
        <v>119.1</v>
      </c>
      <c r="AP77">
        <v>119.5</v>
      </c>
      <c r="AQ77">
        <v>119.7</v>
      </c>
      <c r="AR77">
        <v>120</v>
      </c>
      <c r="AS77">
        <v>120.3</v>
      </c>
      <c r="AT77">
        <v>120.6</v>
      </c>
      <c r="AU77">
        <v>120.9</v>
      </c>
      <c r="AV77">
        <v>121.2</v>
      </c>
      <c r="AW77">
        <v>121.4</v>
      </c>
      <c r="AX77">
        <v>121.8</v>
      </c>
      <c r="AY77">
        <v>122.1</v>
      </c>
      <c r="AZ77">
        <v>122.3</v>
      </c>
      <c r="BA77">
        <v>122.6</v>
      </c>
      <c r="BB77">
        <v>122.9</v>
      </c>
      <c r="BC77">
        <v>123.1</v>
      </c>
      <c r="BD77">
        <v>123.4</v>
      </c>
      <c r="BE77">
        <v>123.6</v>
      </c>
      <c r="BF77">
        <v>123.8</v>
      </c>
      <c r="BG77">
        <v>125</v>
      </c>
      <c r="BH77">
        <v>125.7</v>
      </c>
      <c r="BI77">
        <v>126.1</v>
      </c>
      <c r="BJ77">
        <v>126.6</v>
      </c>
      <c r="BK77">
        <v>127.4</v>
      </c>
      <c r="BL77">
        <v>128.19999999999999</v>
      </c>
      <c r="BM77">
        <v>129</v>
      </c>
      <c r="BN77">
        <v>129.80000000000001</v>
      </c>
      <c r="BO77">
        <v>130.5</v>
      </c>
      <c r="BP77">
        <v>131.30000000000001</v>
      </c>
      <c r="BQ77">
        <v>132</v>
      </c>
      <c r="BR77">
        <v>132.6</v>
      </c>
      <c r="BS77">
        <v>133.6</v>
      </c>
      <c r="BT77">
        <v>134.9</v>
      </c>
      <c r="BU77">
        <v>135.69999999999999</v>
      </c>
      <c r="BV77">
        <v>136.19999999999999</v>
      </c>
      <c r="BW77">
        <v>136.80000000000001</v>
      </c>
      <c r="BX77">
        <v>137.30000000000001</v>
      </c>
      <c r="BY77">
        <v>137.80000000000001</v>
      </c>
      <c r="BZ77">
        <v>138.5</v>
      </c>
      <c r="CA77">
        <v>139.19999999999999</v>
      </c>
      <c r="CB77">
        <v>139.80000000000001</v>
      </c>
      <c r="CC77">
        <v>140.30000000000001</v>
      </c>
      <c r="CD77">
        <v>140.80000000000001</v>
      </c>
      <c r="CE77">
        <v>141.5</v>
      </c>
      <c r="CF77">
        <v>141.9</v>
      </c>
      <c r="CG77">
        <v>142.4</v>
      </c>
      <c r="CH77">
        <v>142.80000000000001</v>
      </c>
      <c r="CI77">
        <v>143.19999999999999</v>
      </c>
      <c r="CJ77">
        <v>143.80000000000001</v>
      </c>
      <c r="CK77">
        <v>144.4</v>
      </c>
      <c r="CL77">
        <v>145</v>
      </c>
      <c r="CM77">
        <v>144.80000000000001</v>
      </c>
      <c r="CN77" t="s">
        <v>32</v>
      </c>
      <c r="CO77">
        <v>148.1</v>
      </c>
      <c r="CP77">
        <v>148.1</v>
      </c>
      <c r="CQ77">
        <v>148.69999999999999</v>
      </c>
      <c r="CR77">
        <v>150</v>
      </c>
      <c r="CS77">
        <v>151</v>
      </c>
      <c r="CT77">
        <v>152</v>
      </c>
      <c r="CU77">
        <v>152.9</v>
      </c>
      <c r="CV77">
        <v>154.1</v>
      </c>
      <c r="CW77">
        <v>156.30000000000001</v>
      </c>
      <c r="CX77">
        <v>156.9</v>
      </c>
      <c r="CY77">
        <v>157.5</v>
      </c>
      <c r="CZ77">
        <v>160.4</v>
      </c>
      <c r="DA77">
        <v>160.80000000000001</v>
      </c>
      <c r="DB77">
        <v>161.5</v>
      </c>
      <c r="DC77">
        <v>162.80000000000001</v>
      </c>
      <c r="DD77">
        <v>162.80000000000001</v>
      </c>
      <c r="DE77">
        <v>163.5</v>
      </c>
      <c r="DF77">
        <v>164.2</v>
      </c>
      <c r="DG77">
        <v>165.1</v>
      </c>
      <c r="DH77">
        <v>166.1</v>
      </c>
      <c r="DI77">
        <v>167.2</v>
      </c>
      <c r="DJ77">
        <v>168.2</v>
      </c>
      <c r="DK77">
        <v>169</v>
      </c>
      <c r="DL77">
        <v>170.1</v>
      </c>
      <c r="DM77">
        <v>170.9</v>
      </c>
      <c r="DN77">
        <v>171.7</v>
      </c>
      <c r="DO77">
        <v>172.6</v>
      </c>
      <c r="DP77">
        <v>173.8</v>
      </c>
      <c r="DQ77">
        <v>174.7</v>
      </c>
      <c r="DR77">
        <v>175.8</v>
      </c>
      <c r="DS77">
        <v>177.2</v>
      </c>
      <c r="DT77">
        <v>178.5</v>
      </c>
      <c r="DU77">
        <v>180.8</v>
      </c>
      <c r="DV77">
        <v>180.8</v>
      </c>
      <c r="DW77">
        <v>181.5</v>
      </c>
      <c r="DX77">
        <v>182.2</v>
      </c>
    </row>
    <row r="78" spans="1:128" x14ac:dyDescent="0.3">
      <c r="A78" t="s">
        <v>24</v>
      </c>
      <c r="B78" t="s">
        <v>68</v>
      </c>
      <c r="C78" s="10" t="s">
        <v>33</v>
      </c>
      <c r="E78">
        <v>103.2</v>
      </c>
      <c r="F78">
        <v>104.4</v>
      </c>
      <c r="G78">
        <v>105.5</v>
      </c>
      <c r="H78">
        <v>105</v>
      </c>
      <c r="I78">
        <v>103.9</v>
      </c>
      <c r="J78">
        <v>105.2</v>
      </c>
      <c r="K78">
        <v>107.3</v>
      </c>
      <c r="L78">
        <v>108.1</v>
      </c>
      <c r="M78">
        <v>110.4</v>
      </c>
      <c r="N78">
        <v>109.7</v>
      </c>
      <c r="O78">
        <v>109.5</v>
      </c>
      <c r="P78">
        <v>109.7</v>
      </c>
      <c r="Q78">
        <v>110.8</v>
      </c>
      <c r="R78">
        <v>111.3</v>
      </c>
      <c r="S78">
        <v>111.6</v>
      </c>
      <c r="T78">
        <v>111.2</v>
      </c>
      <c r="U78">
        <v>111.3</v>
      </c>
      <c r="V78">
        <v>111.5</v>
      </c>
      <c r="W78">
        <v>113</v>
      </c>
      <c r="X78">
        <v>112.5</v>
      </c>
      <c r="Y78">
        <v>111.2</v>
      </c>
      <c r="Z78">
        <v>111</v>
      </c>
      <c r="AA78">
        <v>109.7</v>
      </c>
      <c r="AB78">
        <v>108.8</v>
      </c>
      <c r="AC78">
        <v>107.9</v>
      </c>
      <c r="AD78">
        <v>106.8</v>
      </c>
      <c r="AE78">
        <v>108.4</v>
      </c>
      <c r="AF78">
        <v>108.4</v>
      </c>
      <c r="AG78">
        <v>110.8</v>
      </c>
      <c r="AH78">
        <v>111.7</v>
      </c>
      <c r="AI78">
        <v>111.5</v>
      </c>
      <c r="AJ78">
        <v>109.9</v>
      </c>
      <c r="AK78">
        <v>109.1</v>
      </c>
      <c r="AL78">
        <v>109.3</v>
      </c>
      <c r="AM78">
        <v>109.3</v>
      </c>
      <c r="AN78">
        <v>109.3</v>
      </c>
      <c r="AO78">
        <v>108.9</v>
      </c>
      <c r="AP78">
        <v>109.1</v>
      </c>
      <c r="AQ78">
        <v>108.5</v>
      </c>
      <c r="AR78">
        <v>110</v>
      </c>
      <c r="AS78">
        <v>110.7</v>
      </c>
      <c r="AT78">
        <v>112.3</v>
      </c>
      <c r="AU78">
        <v>111.7</v>
      </c>
      <c r="AV78">
        <v>110.4</v>
      </c>
      <c r="AW78">
        <v>111.8</v>
      </c>
      <c r="AX78">
        <v>112.8</v>
      </c>
      <c r="AY78">
        <v>113.4</v>
      </c>
      <c r="AZ78">
        <v>113.7</v>
      </c>
      <c r="BA78">
        <v>115.2</v>
      </c>
      <c r="BB78">
        <v>115.5</v>
      </c>
      <c r="BC78">
        <v>115.6</v>
      </c>
      <c r="BD78">
        <v>114.3</v>
      </c>
      <c r="BE78">
        <v>114.3</v>
      </c>
      <c r="BF78">
        <v>113.9</v>
      </c>
      <c r="BG78">
        <v>113.2</v>
      </c>
      <c r="BH78">
        <v>114.6</v>
      </c>
      <c r="BI78">
        <v>115.7</v>
      </c>
      <c r="BJ78">
        <v>115</v>
      </c>
      <c r="BK78">
        <v>115.3</v>
      </c>
      <c r="BL78">
        <v>115.3</v>
      </c>
      <c r="BM78">
        <v>116.3</v>
      </c>
      <c r="BN78">
        <v>117.4</v>
      </c>
      <c r="BO78">
        <v>117.8</v>
      </c>
      <c r="BP78">
        <v>118.9</v>
      </c>
      <c r="BQ78">
        <v>119.8</v>
      </c>
      <c r="BR78">
        <v>120.4</v>
      </c>
      <c r="BS78">
        <v>120.1</v>
      </c>
      <c r="BT78">
        <v>120.7</v>
      </c>
      <c r="BU78">
        <v>122.5</v>
      </c>
      <c r="BV78">
        <v>123.3</v>
      </c>
      <c r="BW78">
        <v>121.2</v>
      </c>
      <c r="BX78">
        <v>118.8</v>
      </c>
      <c r="BY78">
        <v>118.6</v>
      </c>
      <c r="BZ78">
        <v>119.2</v>
      </c>
      <c r="CA78">
        <v>119.9</v>
      </c>
      <c r="CB78">
        <v>120.1</v>
      </c>
      <c r="CC78">
        <v>119.6</v>
      </c>
      <c r="CD78">
        <v>120.6</v>
      </c>
      <c r="CE78">
        <v>120.8</v>
      </c>
      <c r="CF78">
        <v>121.2</v>
      </c>
      <c r="CG78">
        <v>121.5</v>
      </c>
      <c r="CH78">
        <v>121.7</v>
      </c>
      <c r="CI78">
        <v>125.2</v>
      </c>
      <c r="CJ78">
        <v>126.1</v>
      </c>
      <c r="CK78">
        <v>125.2</v>
      </c>
      <c r="CL78">
        <v>124.6</v>
      </c>
      <c r="CM78" t="s">
        <v>32</v>
      </c>
      <c r="CN78" t="s">
        <v>32</v>
      </c>
      <c r="CO78">
        <v>129.30000000000001</v>
      </c>
      <c r="CP78">
        <v>129.30000000000001</v>
      </c>
      <c r="CQ78">
        <v>133.9</v>
      </c>
      <c r="CR78">
        <v>135.1</v>
      </c>
      <c r="CS78">
        <v>135.4</v>
      </c>
      <c r="CT78">
        <v>135.19999999999999</v>
      </c>
      <c r="CU78">
        <v>135.5</v>
      </c>
      <c r="CV78">
        <v>136.9</v>
      </c>
      <c r="CW78">
        <v>140.5</v>
      </c>
      <c r="CX78">
        <v>141.69999999999999</v>
      </c>
      <c r="CY78">
        <v>142.1</v>
      </c>
      <c r="CZ78">
        <v>145</v>
      </c>
      <c r="DA78">
        <v>147.5</v>
      </c>
      <c r="DB78">
        <v>149.5</v>
      </c>
      <c r="DC78">
        <v>150.4</v>
      </c>
      <c r="DD78">
        <v>150.5</v>
      </c>
      <c r="DE78">
        <v>152.19999999999999</v>
      </c>
      <c r="DF78">
        <v>151.19999999999999</v>
      </c>
      <c r="DG78">
        <v>151.80000000000001</v>
      </c>
      <c r="DH78">
        <v>152.69999999999999</v>
      </c>
      <c r="DI78">
        <v>153.1</v>
      </c>
      <c r="DJ78">
        <v>154.19999999999999</v>
      </c>
      <c r="DK78">
        <v>159.30000000000001</v>
      </c>
      <c r="DL78">
        <v>159.4</v>
      </c>
      <c r="DM78">
        <v>157.19999999999999</v>
      </c>
      <c r="DN78">
        <v>157.4</v>
      </c>
      <c r="DO78">
        <v>157.69999999999999</v>
      </c>
      <c r="DP78">
        <v>158.19999999999999</v>
      </c>
      <c r="DQ78">
        <v>158.80000000000001</v>
      </c>
      <c r="DR78">
        <v>158.9</v>
      </c>
      <c r="DS78">
        <v>159.4</v>
      </c>
      <c r="DT78">
        <v>159.5</v>
      </c>
      <c r="DU78">
        <v>159.80000000000001</v>
      </c>
      <c r="DV78">
        <v>159.80000000000001</v>
      </c>
      <c r="DW78">
        <v>160.1</v>
      </c>
      <c r="DX78">
        <v>160.4</v>
      </c>
    </row>
    <row r="79" spans="1:128" x14ac:dyDescent="0.3">
      <c r="A79" t="s">
        <v>25</v>
      </c>
      <c r="B79" t="s">
        <v>67</v>
      </c>
      <c r="C79" s="10" t="s">
        <v>33</v>
      </c>
      <c r="E79">
        <v>102.9</v>
      </c>
      <c r="F79">
        <v>103.3</v>
      </c>
      <c r="G79">
        <v>103.5</v>
      </c>
      <c r="H79">
        <v>104</v>
      </c>
      <c r="I79">
        <v>104.6</v>
      </c>
      <c r="J79">
        <v>105.2</v>
      </c>
      <c r="K79">
        <v>105.9</v>
      </c>
      <c r="L79">
        <v>106.5</v>
      </c>
      <c r="M79">
        <v>107.4</v>
      </c>
      <c r="N79">
        <v>108</v>
      </c>
      <c r="O79">
        <v>108.5</v>
      </c>
      <c r="P79">
        <v>108.9</v>
      </c>
      <c r="Q79">
        <v>109.8</v>
      </c>
      <c r="R79">
        <v>110.3</v>
      </c>
      <c r="S79">
        <v>110.9</v>
      </c>
      <c r="T79">
        <v>111.2</v>
      </c>
      <c r="U79">
        <v>111.5</v>
      </c>
      <c r="V79">
        <v>111.8</v>
      </c>
      <c r="W79">
        <v>112.4</v>
      </c>
      <c r="X79">
        <v>112.9</v>
      </c>
      <c r="Y79">
        <v>113.4</v>
      </c>
      <c r="Z79">
        <v>113.6</v>
      </c>
      <c r="AA79">
        <v>114</v>
      </c>
      <c r="AB79">
        <v>114.3</v>
      </c>
      <c r="AC79">
        <v>114.6</v>
      </c>
      <c r="AD79">
        <v>114.9</v>
      </c>
      <c r="AE79">
        <v>115.4</v>
      </c>
      <c r="AF79">
        <v>115.6</v>
      </c>
      <c r="AG79">
        <v>116</v>
      </c>
      <c r="AH79">
        <v>116.2</v>
      </c>
      <c r="AI79">
        <v>116.6</v>
      </c>
      <c r="AJ79">
        <v>117.2</v>
      </c>
      <c r="AK79">
        <v>117.3</v>
      </c>
      <c r="AL79">
        <v>117.7</v>
      </c>
      <c r="AM79">
        <v>117.9</v>
      </c>
      <c r="AN79">
        <v>118.1</v>
      </c>
      <c r="AO79">
        <v>118.5</v>
      </c>
      <c r="AP79">
        <v>118.8</v>
      </c>
      <c r="AQ79">
        <v>119.1</v>
      </c>
      <c r="AR79">
        <v>119.5</v>
      </c>
      <c r="AS79">
        <v>119.8</v>
      </c>
      <c r="AT79">
        <v>119.9</v>
      </c>
      <c r="AU79">
        <v>120.3</v>
      </c>
      <c r="AV79">
        <v>120.6</v>
      </c>
      <c r="AW79">
        <v>120.8</v>
      </c>
      <c r="AX79">
        <v>121.2</v>
      </c>
      <c r="AY79">
        <v>121.7</v>
      </c>
      <c r="AZ79">
        <v>121.8</v>
      </c>
      <c r="BA79">
        <v>122</v>
      </c>
      <c r="BB79">
        <v>122.2</v>
      </c>
      <c r="BC79">
        <v>122.4</v>
      </c>
      <c r="BD79">
        <v>122.6</v>
      </c>
      <c r="BE79">
        <v>122.8</v>
      </c>
      <c r="BF79">
        <v>122.9</v>
      </c>
      <c r="BG79">
        <v>123.5</v>
      </c>
      <c r="BH79">
        <v>124.1</v>
      </c>
      <c r="BI79">
        <v>124.5</v>
      </c>
      <c r="BJ79">
        <v>124.8</v>
      </c>
      <c r="BK79">
        <v>125.1</v>
      </c>
      <c r="BL79">
        <v>125.6</v>
      </c>
      <c r="BM79">
        <v>126.2</v>
      </c>
      <c r="BN79">
        <v>126.5</v>
      </c>
      <c r="BO79">
        <v>126.8</v>
      </c>
      <c r="BP79">
        <v>127.6</v>
      </c>
      <c r="BQ79">
        <v>128</v>
      </c>
      <c r="BR79">
        <v>128.5</v>
      </c>
      <c r="BS79">
        <v>129</v>
      </c>
      <c r="BT79">
        <v>129.80000000000001</v>
      </c>
      <c r="BU79">
        <v>130.19999999999999</v>
      </c>
      <c r="BV79">
        <v>130.69999999999999</v>
      </c>
      <c r="BW79">
        <v>131.30000000000001</v>
      </c>
      <c r="BX79">
        <v>131.69999999999999</v>
      </c>
      <c r="BY79">
        <v>131.9</v>
      </c>
      <c r="BZ79">
        <v>132.19999999999999</v>
      </c>
      <c r="CA79">
        <v>133</v>
      </c>
      <c r="CB79">
        <v>134</v>
      </c>
      <c r="CC79">
        <v>134.30000000000001</v>
      </c>
      <c r="CD79">
        <v>135</v>
      </c>
      <c r="CE79">
        <v>135.4</v>
      </c>
      <c r="CF79">
        <v>135.9</v>
      </c>
      <c r="CG79">
        <v>136.19999999999999</v>
      </c>
      <c r="CH79">
        <v>136.69999999999999</v>
      </c>
      <c r="CI79">
        <v>136.80000000000001</v>
      </c>
      <c r="CJ79">
        <v>137.19999999999999</v>
      </c>
      <c r="CK79">
        <v>137.69999999999999</v>
      </c>
      <c r="CL79">
        <v>137.9</v>
      </c>
      <c r="CM79" t="s">
        <v>32</v>
      </c>
      <c r="CN79" t="s">
        <v>32</v>
      </c>
      <c r="CO79">
        <v>144.5</v>
      </c>
      <c r="CP79">
        <v>144.5</v>
      </c>
      <c r="CQ79">
        <v>141.19999999999999</v>
      </c>
      <c r="CR79">
        <v>141.80000000000001</v>
      </c>
      <c r="CS79">
        <v>142</v>
      </c>
      <c r="CT79">
        <v>144.4</v>
      </c>
      <c r="CU79">
        <v>144.30000000000001</v>
      </c>
      <c r="CV79">
        <v>145.4</v>
      </c>
      <c r="CW79">
        <v>147.30000000000001</v>
      </c>
      <c r="CX79">
        <v>148.6</v>
      </c>
      <c r="CY79">
        <v>149.1</v>
      </c>
      <c r="CZ79">
        <v>152.6</v>
      </c>
      <c r="DA79">
        <v>150.69999999999999</v>
      </c>
      <c r="DB79">
        <v>151.19999999999999</v>
      </c>
      <c r="DC79">
        <v>153.69999999999999</v>
      </c>
      <c r="DD79">
        <v>153.9</v>
      </c>
      <c r="DE79">
        <v>155.1</v>
      </c>
      <c r="DF79">
        <v>156.69999999999999</v>
      </c>
      <c r="DG79">
        <v>157.6</v>
      </c>
      <c r="DH79">
        <v>158.4</v>
      </c>
      <c r="DI79">
        <v>159.5</v>
      </c>
      <c r="DJ79">
        <v>160.80000000000001</v>
      </c>
      <c r="DK79">
        <v>162.19999999999999</v>
      </c>
      <c r="DL79">
        <v>163.19999999999999</v>
      </c>
      <c r="DM79">
        <v>164.1</v>
      </c>
      <c r="DN79">
        <v>164.6</v>
      </c>
      <c r="DO79">
        <v>165.1</v>
      </c>
      <c r="DP79">
        <v>165.8</v>
      </c>
      <c r="DQ79">
        <v>166.3</v>
      </c>
      <c r="DR79">
        <v>166.7</v>
      </c>
      <c r="DS79">
        <v>167.1</v>
      </c>
      <c r="DT79">
        <v>167.8</v>
      </c>
      <c r="DU79">
        <v>168.4</v>
      </c>
      <c r="DV79">
        <v>168.4</v>
      </c>
      <c r="DW79">
        <v>168.8</v>
      </c>
      <c r="DX79">
        <v>169.2</v>
      </c>
    </row>
    <row r="80" spans="1:128" x14ac:dyDescent="0.3">
      <c r="A80" t="s">
        <v>26</v>
      </c>
      <c r="B80" t="s">
        <v>26</v>
      </c>
      <c r="C80" s="10" t="s">
        <v>33</v>
      </c>
      <c r="E80">
        <v>103.5</v>
      </c>
      <c r="F80">
        <v>103.7</v>
      </c>
      <c r="G80">
        <v>103.8</v>
      </c>
      <c r="H80">
        <v>105.2</v>
      </c>
      <c r="I80">
        <v>105.7</v>
      </c>
      <c r="J80">
        <v>108.1</v>
      </c>
      <c r="K80">
        <v>110.1</v>
      </c>
      <c r="L80">
        <v>110.8</v>
      </c>
      <c r="M80">
        <v>111.2</v>
      </c>
      <c r="N80">
        <v>111.3</v>
      </c>
      <c r="O80">
        <v>111.3</v>
      </c>
      <c r="P80">
        <v>111.4</v>
      </c>
      <c r="Q80">
        <v>111.5</v>
      </c>
      <c r="R80">
        <v>111.6</v>
      </c>
      <c r="S80">
        <v>111.8</v>
      </c>
      <c r="T80">
        <v>112.5</v>
      </c>
      <c r="U80">
        <v>112.9</v>
      </c>
      <c r="V80">
        <v>115.1</v>
      </c>
      <c r="W80">
        <v>117.8</v>
      </c>
      <c r="X80">
        <v>119.2</v>
      </c>
      <c r="Y80">
        <v>120</v>
      </c>
      <c r="Z80">
        <v>120.2</v>
      </c>
      <c r="AA80">
        <v>120.3</v>
      </c>
      <c r="AB80">
        <v>120.7</v>
      </c>
      <c r="AC80">
        <v>120.8</v>
      </c>
      <c r="AD80">
        <v>120.4</v>
      </c>
      <c r="AE80">
        <v>120.6</v>
      </c>
      <c r="AF80">
        <v>121.7</v>
      </c>
      <c r="AG80">
        <v>122</v>
      </c>
      <c r="AH80">
        <v>123.8</v>
      </c>
      <c r="AI80">
        <v>125.4</v>
      </c>
      <c r="AJ80">
        <v>126.2</v>
      </c>
      <c r="AK80">
        <v>126.5</v>
      </c>
      <c r="AL80">
        <v>126.5</v>
      </c>
      <c r="AM80">
        <v>126.6</v>
      </c>
      <c r="AN80">
        <v>126.6</v>
      </c>
      <c r="AO80">
        <v>126.4</v>
      </c>
      <c r="AP80">
        <v>126.3</v>
      </c>
      <c r="AQ80">
        <v>126.4</v>
      </c>
      <c r="AR80">
        <v>127.6</v>
      </c>
      <c r="AS80">
        <v>128</v>
      </c>
      <c r="AT80">
        <v>129.30000000000001</v>
      </c>
      <c r="AU80">
        <v>130.80000000000001</v>
      </c>
      <c r="AV80">
        <v>131.5</v>
      </c>
      <c r="AW80">
        <v>131.6</v>
      </c>
      <c r="AX80">
        <v>131.9</v>
      </c>
      <c r="AY80">
        <v>132.1</v>
      </c>
      <c r="AZ80">
        <v>132.30000000000001</v>
      </c>
      <c r="BA80">
        <v>132.4</v>
      </c>
      <c r="BB80">
        <v>132.4</v>
      </c>
      <c r="BC80">
        <v>132.80000000000001</v>
      </c>
      <c r="BD80">
        <v>133.6</v>
      </c>
      <c r="BE80">
        <v>133.80000000000001</v>
      </c>
      <c r="BF80">
        <v>134.30000000000001</v>
      </c>
      <c r="BG80">
        <v>135.5</v>
      </c>
      <c r="BH80">
        <v>135.69999999999999</v>
      </c>
      <c r="BI80">
        <v>135.9</v>
      </c>
      <c r="BJ80">
        <v>136.30000000000001</v>
      </c>
      <c r="BK80">
        <v>136.6</v>
      </c>
      <c r="BL80">
        <v>136.69999999999999</v>
      </c>
      <c r="BM80">
        <v>137.1</v>
      </c>
      <c r="BN80">
        <v>137.19999999999999</v>
      </c>
      <c r="BO80">
        <v>137.80000000000001</v>
      </c>
      <c r="BP80">
        <v>139.69999999999999</v>
      </c>
      <c r="BQ80">
        <v>140.4</v>
      </c>
      <c r="BR80">
        <v>141.19999999999999</v>
      </c>
      <c r="BS80">
        <v>144</v>
      </c>
      <c r="BT80">
        <v>145.30000000000001</v>
      </c>
      <c r="BU80">
        <v>145.19999999999999</v>
      </c>
      <c r="BV80">
        <v>145.5</v>
      </c>
      <c r="BW80">
        <v>146.1</v>
      </c>
      <c r="BX80">
        <v>146.5</v>
      </c>
      <c r="BY80">
        <v>146.6</v>
      </c>
      <c r="BZ80">
        <v>146.6</v>
      </c>
      <c r="CA80">
        <v>146.69999999999999</v>
      </c>
      <c r="CB80">
        <v>148</v>
      </c>
      <c r="CC80">
        <v>148.9</v>
      </c>
      <c r="CD80">
        <v>150.4</v>
      </c>
      <c r="CE80">
        <v>151.5</v>
      </c>
      <c r="CF80">
        <v>151.6</v>
      </c>
      <c r="CG80">
        <v>151.69999999999999</v>
      </c>
      <c r="CH80">
        <v>151.80000000000001</v>
      </c>
      <c r="CI80">
        <v>151.9</v>
      </c>
      <c r="CJ80">
        <v>152.1</v>
      </c>
      <c r="CK80">
        <v>152.19999999999999</v>
      </c>
      <c r="CL80">
        <v>152.5</v>
      </c>
      <c r="CM80" t="s">
        <v>32</v>
      </c>
      <c r="CN80" t="s">
        <v>32</v>
      </c>
      <c r="CO80">
        <v>152.5</v>
      </c>
      <c r="CP80">
        <v>152.5</v>
      </c>
      <c r="CQ80">
        <v>155.5</v>
      </c>
      <c r="CR80">
        <v>154.9</v>
      </c>
      <c r="CS80">
        <v>155.69999999999999</v>
      </c>
      <c r="CT80">
        <v>156.4</v>
      </c>
      <c r="CU80">
        <v>156.9</v>
      </c>
      <c r="CV80">
        <v>156.1</v>
      </c>
      <c r="CW80">
        <v>156.6</v>
      </c>
      <c r="CX80">
        <v>157.6</v>
      </c>
      <c r="CY80">
        <v>157.6</v>
      </c>
      <c r="CZ80">
        <v>156.6</v>
      </c>
      <c r="DA80">
        <v>158.1</v>
      </c>
      <c r="DB80">
        <v>160.30000000000001</v>
      </c>
      <c r="DC80">
        <v>160.4</v>
      </c>
      <c r="DD80">
        <v>160.30000000000001</v>
      </c>
      <c r="DE80">
        <v>160.30000000000001</v>
      </c>
      <c r="DF80">
        <v>160.80000000000001</v>
      </c>
      <c r="DG80">
        <v>160.6</v>
      </c>
      <c r="DH80">
        <v>161</v>
      </c>
      <c r="DI80">
        <v>162</v>
      </c>
      <c r="DJ80">
        <v>162.69999999999999</v>
      </c>
      <c r="DK80">
        <v>164</v>
      </c>
      <c r="DL80">
        <v>165.2</v>
      </c>
      <c r="DM80">
        <v>166.5</v>
      </c>
      <c r="DN80">
        <v>169.1</v>
      </c>
      <c r="DO80">
        <v>169.9</v>
      </c>
      <c r="DP80">
        <v>170.9</v>
      </c>
      <c r="DQ80">
        <v>171.2</v>
      </c>
      <c r="DR80">
        <v>171.5</v>
      </c>
      <c r="DS80">
        <v>171.8</v>
      </c>
      <c r="DT80">
        <v>171.8</v>
      </c>
      <c r="DU80">
        <v>172.5</v>
      </c>
      <c r="DV80">
        <v>172.5</v>
      </c>
      <c r="DW80">
        <v>174.2</v>
      </c>
      <c r="DX80">
        <v>174.8</v>
      </c>
    </row>
    <row r="81" spans="1:128" x14ac:dyDescent="0.3">
      <c r="A81" t="s">
        <v>27</v>
      </c>
      <c r="B81" t="s">
        <v>68</v>
      </c>
      <c r="C81" s="10" t="s">
        <v>33</v>
      </c>
      <c r="E81">
        <v>104.3</v>
      </c>
      <c r="F81">
        <v>104.3</v>
      </c>
      <c r="G81">
        <v>104.2</v>
      </c>
      <c r="H81">
        <v>103.2</v>
      </c>
      <c r="I81">
        <v>102.6</v>
      </c>
      <c r="J81">
        <v>103.3</v>
      </c>
      <c r="K81">
        <v>103.2</v>
      </c>
      <c r="L81">
        <v>106</v>
      </c>
      <c r="M81">
        <v>106.9</v>
      </c>
      <c r="N81">
        <v>107.3</v>
      </c>
      <c r="O81">
        <v>107.9</v>
      </c>
      <c r="P81">
        <v>107.7</v>
      </c>
      <c r="Q81">
        <v>108</v>
      </c>
      <c r="R81">
        <v>108.7</v>
      </c>
      <c r="S81">
        <v>109.2</v>
      </c>
      <c r="T81">
        <v>109.1</v>
      </c>
      <c r="U81">
        <v>109.3</v>
      </c>
      <c r="V81">
        <v>108.7</v>
      </c>
      <c r="W81">
        <v>109.7</v>
      </c>
      <c r="X81">
        <v>110.5</v>
      </c>
      <c r="Y81">
        <v>110</v>
      </c>
      <c r="Z81">
        <v>110.1</v>
      </c>
      <c r="AA81">
        <v>109.6</v>
      </c>
      <c r="AB81">
        <v>110.4</v>
      </c>
      <c r="AC81">
        <v>111.4</v>
      </c>
      <c r="AD81">
        <v>111.7</v>
      </c>
      <c r="AE81">
        <v>111.3</v>
      </c>
      <c r="AF81">
        <v>111.8</v>
      </c>
      <c r="AG81">
        <v>112.4</v>
      </c>
      <c r="AH81">
        <v>112.5</v>
      </c>
      <c r="AI81">
        <v>111.7</v>
      </c>
      <c r="AJ81">
        <v>112</v>
      </c>
      <c r="AK81">
        <v>112.9</v>
      </c>
      <c r="AL81">
        <v>113.5</v>
      </c>
      <c r="AM81">
        <v>113.3</v>
      </c>
      <c r="AN81">
        <v>113.2</v>
      </c>
      <c r="AO81">
        <v>114</v>
      </c>
      <c r="AP81">
        <v>116.2</v>
      </c>
      <c r="AQ81">
        <v>117.1</v>
      </c>
      <c r="AR81">
        <v>117.6</v>
      </c>
      <c r="AS81">
        <v>118.5</v>
      </c>
      <c r="AT81">
        <v>118.8</v>
      </c>
      <c r="AU81">
        <v>120</v>
      </c>
      <c r="AV81">
        <v>120.9</v>
      </c>
      <c r="AW81">
        <v>121.2</v>
      </c>
      <c r="AX81">
        <v>120.8</v>
      </c>
      <c r="AY81">
        <v>121.3</v>
      </c>
      <c r="AZ81">
        <v>119.9</v>
      </c>
      <c r="BA81">
        <v>120.9</v>
      </c>
      <c r="BB81">
        <v>121.7</v>
      </c>
      <c r="BC81">
        <v>121.7</v>
      </c>
      <c r="BD81">
        <v>122.2</v>
      </c>
      <c r="BE81">
        <v>122</v>
      </c>
      <c r="BF81">
        <v>122.5</v>
      </c>
      <c r="BG81">
        <v>122.4</v>
      </c>
      <c r="BH81">
        <v>123.3</v>
      </c>
      <c r="BI81">
        <v>124.4</v>
      </c>
      <c r="BJ81">
        <v>124.6</v>
      </c>
      <c r="BK81">
        <v>124.9</v>
      </c>
      <c r="BL81">
        <v>124.6</v>
      </c>
      <c r="BM81">
        <v>125.5</v>
      </c>
      <c r="BN81">
        <v>126.2</v>
      </c>
      <c r="BO81">
        <v>126.7</v>
      </c>
      <c r="BP81">
        <v>127.6</v>
      </c>
      <c r="BQ81">
        <v>128.1</v>
      </c>
      <c r="BR81">
        <v>128.19999999999999</v>
      </c>
      <c r="BS81">
        <v>128.19999999999999</v>
      </c>
      <c r="BT81">
        <v>128.30000000000001</v>
      </c>
      <c r="BU81">
        <v>129.30000000000001</v>
      </c>
      <c r="BV81">
        <v>130.4</v>
      </c>
      <c r="BW81">
        <v>130.5</v>
      </c>
      <c r="BX81">
        <v>130.80000000000001</v>
      </c>
      <c r="BY81">
        <v>131.69999999999999</v>
      </c>
      <c r="BZ81">
        <v>133</v>
      </c>
      <c r="CA81">
        <v>132.5</v>
      </c>
      <c r="CB81">
        <v>132.6</v>
      </c>
      <c r="CC81">
        <v>133.69999999999999</v>
      </c>
      <c r="CD81">
        <v>135.1</v>
      </c>
      <c r="CE81">
        <v>137.80000000000001</v>
      </c>
      <c r="CF81">
        <v>139</v>
      </c>
      <c r="CG81">
        <v>139.5</v>
      </c>
      <c r="CH81">
        <v>139.80000000000001</v>
      </c>
      <c r="CI81">
        <v>140.19999999999999</v>
      </c>
      <c r="CJ81">
        <v>142.1</v>
      </c>
      <c r="CK81">
        <v>143.5</v>
      </c>
      <c r="CL81">
        <v>145.30000000000001</v>
      </c>
      <c r="CM81" t="s">
        <v>32</v>
      </c>
      <c r="CN81" t="s">
        <v>32</v>
      </c>
      <c r="CO81">
        <v>152.19999999999999</v>
      </c>
      <c r="CP81">
        <v>152.19999999999999</v>
      </c>
      <c r="CQ81">
        <v>155.19999999999999</v>
      </c>
      <c r="CR81">
        <v>159.80000000000001</v>
      </c>
      <c r="CS81">
        <v>158.1</v>
      </c>
      <c r="CT81">
        <v>157.9</v>
      </c>
      <c r="CU81">
        <v>157.9</v>
      </c>
      <c r="CV81">
        <v>157.69999999999999</v>
      </c>
      <c r="CW81">
        <v>156.69999999999999</v>
      </c>
      <c r="CX81">
        <v>154.9</v>
      </c>
      <c r="CY81">
        <v>156.6</v>
      </c>
      <c r="CZ81">
        <v>157.5</v>
      </c>
      <c r="DA81">
        <v>158</v>
      </c>
      <c r="DB81">
        <v>159.6</v>
      </c>
      <c r="DC81">
        <v>159.6</v>
      </c>
      <c r="DD81">
        <v>159.6</v>
      </c>
      <c r="DE81">
        <v>160.30000000000001</v>
      </c>
      <c r="DF81">
        <v>161.80000000000001</v>
      </c>
      <c r="DG81">
        <v>162.4</v>
      </c>
      <c r="DH81">
        <v>162.80000000000001</v>
      </c>
      <c r="DI81">
        <v>164.2</v>
      </c>
      <c r="DJ81">
        <v>166.8</v>
      </c>
      <c r="DK81">
        <v>168.4</v>
      </c>
      <c r="DL81">
        <v>168.2</v>
      </c>
      <c r="DM81">
        <v>169.2</v>
      </c>
      <c r="DN81">
        <v>169.8</v>
      </c>
      <c r="DO81">
        <v>171.4</v>
      </c>
      <c r="DP81">
        <v>171.1</v>
      </c>
      <c r="DQ81">
        <v>172.3</v>
      </c>
      <c r="DR81">
        <v>173.8</v>
      </c>
      <c r="DS81">
        <v>176</v>
      </c>
      <c r="DT81">
        <v>178.8</v>
      </c>
      <c r="DU81">
        <v>181.4</v>
      </c>
      <c r="DV81">
        <v>181.5</v>
      </c>
      <c r="DW81">
        <v>184.4</v>
      </c>
      <c r="DX81">
        <v>185.6</v>
      </c>
    </row>
    <row r="82" spans="1:128" x14ac:dyDescent="0.3">
      <c r="A82" t="s">
        <v>28</v>
      </c>
      <c r="B82" t="s">
        <v>69</v>
      </c>
      <c r="C82" s="10" t="s">
        <v>33</v>
      </c>
      <c r="E82">
        <v>103.7</v>
      </c>
      <c r="F82">
        <v>104.3</v>
      </c>
      <c r="G82">
        <v>104.9</v>
      </c>
      <c r="H82">
        <v>105.1</v>
      </c>
      <c r="I82">
        <v>104.9</v>
      </c>
      <c r="J82">
        <v>106.1</v>
      </c>
      <c r="K82">
        <v>107.3</v>
      </c>
      <c r="L82">
        <v>108.3</v>
      </c>
      <c r="M82">
        <v>109.4</v>
      </c>
      <c r="N82">
        <v>109.4</v>
      </c>
      <c r="O82">
        <v>109.6</v>
      </c>
      <c r="P82">
        <v>109.8</v>
      </c>
      <c r="Q82">
        <v>110.5</v>
      </c>
      <c r="R82">
        <v>111</v>
      </c>
      <c r="S82">
        <v>111.4</v>
      </c>
      <c r="T82">
        <v>111.4</v>
      </c>
      <c r="U82">
        <v>111.7</v>
      </c>
      <c r="V82">
        <v>112.2</v>
      </c>
      <c r="W82">
        <v>113.5</v>
      </c>
      <c r="X82">
        <v>113.9</v>
      </c>
      <c r="Y82">
        <v>113.6</v>
      </c>
      <c r="Z82">
        <v>113.7</v>
      </c>
      <c r="AA82">
        <v>113.4</v>
      </c>
      <c r="AB82">
        <v>113.4</v>
      </c>
      <c r="AC82">
        <v>113.4</v>
      </c>
      <c r="AD82">
        <v>113.2</v>
      </c>
      <c r="AE82">
        <v>113.8</v>
      </c>
      <c r="AF82">
        <v>114.2</v>
      </c>
      <c r="AG82">
        <v>115.2</v>
      </c>
      <c r="AH82">
        <v>116</v>
      </c>
      <c r="AI82">
        <v>116.3</v>
      </c>
      <c r="AJ82">
        <v>116.2</v>
      </c>
      <c r="AK82">
        <v>116.2</v>
      </c>
      <c r="AL82">
        <v>116.5</v>
      </c>
      <c r="AM82">
        <v>116.6</v>
      </c>
      <c r="AN82">
        <v>116.7</v>
      </c>
      <c r="AO82">
        <v>116.8</v>
      </c>
      <c r="AP82">
        <v>117.2</v>
      </c>
      <c r="AQ82">
        <v>117.3</v>
      </c>
      <c r="AR82">
        <v>118.2</v>
      </c>
      <c r="AS82">
        <v>118.7</v>
      </c>
      <c r="AT82">
        <v>119.6</v>
      </c>
      <c r="AU82">
        <v>119.9</v>
      </c>
      <c r="AV82">
        <v>119.9</v>
      </c>
      <c r="AW82">
        <v>120.5</v>
      </c>
      <c r="AX82">
        <v>120.9</v>
      </c>
      <c r="AY82">
        <v>121.3</v>
      </c>
      <c r="AZ82">
        <v>121.4</v>
      </c>
      <c r="BA82">
        <v>122.1</v>
      </c>
      <c r="BB82">
        <v>122.4</v>
      </c>
      <c r="BC82">
        <v>122.6</v>
      </c>
      <c r="BD82">
        <v>122.5</v>
      </c>
      <c r="BE82">
        <v>122.6</v>
      </c>
      <c r="BF82">
        <v>122.7</v>
      </c>
      <c r="BG82">
        <v>123</v>
      </c>
      <c r="BH82">
        <v>123.8</v>
      </c>
      <c r="BI82">
        <v>124.5</v>
      </c>
      <c r="BJ82">
        <v>124.5</v>
      </c>
      <c r="BK82">
        <v>124.9</v>
      </c>
      <c r="BL82">
        <v>125.1</v>
      </c>
      <c r="BM82">
        <v>125.8</v>
      </c>
      <c r="BN82">
        <v>126.5</v>
      </c>
      <c r="BO82">
        <v>127.1</v>
      </c>
      <c r="BP82">
        <v>128.19999999999999</v>
      </c>
      <c r="BQ82">
        <v>128.9</v>
      </c>
      <c r="BR82">
        <v>129.5</v>
      </c>
      <c r="BS82">
        <v>130.19999999999999</v>
      </c>
      <c r="BT82">
        <v>131</v>
      </c>
      <c r="BU82">
        <v>131.9</v>
      </c>
      <c r="BV82">
        <v>132.5</v>
      </c>
      <c r="BW82">
        <v>132.19999999999999</v>
      </c>
      <c r="BX82">
        <v>131.69999999999999</v>
      </c>
      <c r="BY82">
        <v>131.80000000000001</v>
      </c>
      <c r="BZ82">
        <v>132.4</v>
      </c>
      <c r="CA82">
        <v>132.80000000000001</v>
      </c>
      <c r="CB82">
        <v>133.30000000000001</v>
      </c>
      <c r="CC82">
        <v>133.6</v>
      </c>
      <c r="CD82">
        <v>134.5</v>
      </c>
      <c r="CE82">
        <v>135.30000000000001</v>
      </c>
      <c r="CF82">
        <v>135.69999999999999</v>
      </c>
      <c r="CG82">
        <v>136</v>
      </c>
      <c r="CH82">
        <v>136.30000000000001</v>
      </c>
      <c r="CI82">
        <v>137.69999999999999</v>
      </c>
      <c r="CJ82">
        <v>138.4</v>
      </c>
      <c r="CK82">
        <v>138.4</v>
      </c>
      <c r="CL82">
        <v>138.69999999999999</v>
      </c>
      <c r="CM82" t="s">
        <v>32</v>
      </c>
      <c r="CN82" t="s">
        <v>32</v>
      </c>
      <c r="CO82">
        <v>142</v>
      </c>
      <c r="CP82">
        <v>142</v>
      </c>
      <c r="CQ82">
        <v>144.80000000000001</v>
      </c>
      <c r="CR82">
        <v>146</v>
      </c>
      <c r="CS82">
        <v>146.19999999999999</v>
      </c>
      <c r="CT82">
        <v>146.6</v>
      </c>
      <c r="CU82">
        <v>146.9</v>
      </c>
      <c r="CV82">
        <v>147.6</v>
      </c>
      <c r="CW82">
        <v>149.30000000000001</v>
      </c>
      <c r="CX82">
        <v>150</v>
      </c>
      <c r="CY82">
        <v>150.5</v>
      </c>
      <c r="CZ82">
        <v>152.30000000000001</v>
      </c>
      <c r="DA82">
        <v>153.4</v>
      </c>
      <c r="DB82">
        <v>155</v>
      </c>
      <c r="DC82">
        <v>156</v>
      </c>
      <c r="DD82">
        <v>156</v>
      </c>
      <c r="DE82">
        <v>157</v>
      </c>
      <c r="DF82">
        <v>157.30000000000001</v>
      </c>
      <c r="DG82">
        <v>157.80000000000001</v>
      </c>
      <c r="DH82">
        <v>158.6</v>
      </c>
      <c r="DI82">
        <v>159.4</v>
      </c>
      <c r="DJ82">
        <v>160.6</v>
      </c>
      <c r="DK82">
        <v>163.1</v>
      </c>
      <c r="DL82">
        <v>163.80000000000001</v>
      </c>
      <c r="DM82">
        <v>163.80000000000001</v>
      </c>
      <c r="DN82">
        <v>164.7</v>
      </c>
      <c r="DO82">
        <v>165.4</v>
      </c>
      <c r="DP82">
        <v>166.1</v>
      </c>
      <c r="DQ82">
        <v>166.8</v>
      </c>
      <c r="DR82">
        <v>167.4</v>
      </c>
      <c r="DS82">
        <v>168.2</v>
      </c>
      <c r="DT82">
        <v>168.9</v>
      </c>
      <c r="DU82">
        <v>170</v>
      </c>
      <c r="DV82">
        <v>170</v>
      </c>
      <c r="DW82">
        <v>170.9</v>
      </c>
      <c r="DX82">
        <v>171.6</v>
      </c>
    </row>
    <row r="83" spans="1:128" x14ac:dyDescent="0.3">
      <c r="A83" t="s">
        <v>29</v>
      </c>
      <c r="B83" t="s">
        <v>70</v>
      </c>
      <c r="C83" s="10" t="s">
        <v>33</v>
      </c>
      <c r="E83">
        <v>104</v>
      </c>
      <c r="F83">
        <v>104.7</v>
      </c>
      <c r="G83">
        <v>105</v>
      </c>
      <c r="H83">
        <v>105.7</v>
      </c>
      <c r="I83">
        <v>106.6</v>
      </c>
      <c r="J83">
        <v>109.7</v>
      </c>
      <c r="K83">
        <v>111.4</v>
      </c>
      <c r="L83">
        <v>112.7</v>
      </c>
      <c r="M83">
        <v>113.2</v>
      </c>
      <c r="N83">
        <v>114</v>
      </c>
      <c r="O83">
        <v>115</v>
      </c>
      <c r="P83">
        <v>113.3</v>
      </c>
      <c r="Q83">
        <v>112.9</v>
      </c>
      <c r="R83">
        <v>113.1</v>
      </c>
      <c r="S83">
        <v>113.7</v>
      </c>
      <c r="T83">
        <v>114.7</v>
      </c>
      <c r="U83">
        <v>115.6</v>
      </c>
      <c r="V83">
        <v>116.4</v>
      </c>
      <c r="W83">
        <v>118.9</v>
      </c>
      <c r="X83">
        <v>119.9</v>
      </c>
      <c r="Y83">
        <v>119.2</v>
      </c>
      <c r="Z83">
        <v>119.1</v>
      </c>
      <c r="AA83">
        <v>119</v>
      </c>
      <c r="AB83">
        <v>118.4</v>
      </c>
      <c r="AC83">
        <v>118.5</v>
      </c>
      <c r="AD83">
        <v>118.7</v>
      </c>
      <c r="AE83">
        <v>119.1</v>
      </c>
      <c r="AF83">
        <v>119.7</v>
      </c>
      <c r="AG83">
        <v>120.7</v>
      </c>
      <c r="AH83">
        <v>121.7</v>
      </c>
      <c r="AI83">
        <v>122.4</v>
      </c>
      <c r="AJ83">
        <v>123.2</v>
      </c>
      <c r="AK83">
        <v>123.5</v>
      </c>
      <c r="AL83">
        <v>124.2</v>
      </c>
      <c r="AM83">
        <v>124.6</v>
      </c>
      <c r="AN83">
        <v>124</v>
      </c>
      <c r="AO83">
        <v>124.2</v>
      </c>
      <c r="AP83">
        <v>123.8</v>
      </c>
      <c r="AQ83">
        <v>123.8</v>
      </c>
      <c r="AR83">
        <v>125.3</v>
      </c>
      <c r="AS83">
        <v>126.6</v>
      </c>
      <c r="AT83">
        <v>128.1</v>
      </c>
      <c r="AU83">
        <v>129</v>
      </c>
      <c r="AV83">
        <v>128.4</v>
      </c>
      <c r="AW83">
        <v>128</v>
      </c>
      <c r="AX83">
        <v>128.6</v>
      </c>
      <c r="AY83">
        <v>128.5</v>
      </c>
      <c r="AZ83">
        <v>127.6</v>
      </c>
      <c r="BA83">
        <v>127.8</v>
      </c>
      <c r="BB83">
        <v>128.19999999999999</v>
      </c>
      <c r="BC83">
        <v>128.69999999999999</v>
      </c>
      <c r="BD83">
        <v>129.1</v>
      </c>
      <c r="BE83">
        <v>129.30000000000001</v>
      </c>
      <c r="BF83">
        <v>129.9</v>
      </c>
      <c r="BG83">
        <v>131.80000000000001</v>
      </c>
      <c r="BH83">
        <v>132.69999999999999</v>
      </c>
      <c r="BI83">
        <v>132.4</v>
      </c>
      <c r="BJ83">
        <v>133.5</v>
      </c>
      <c r="BK83">
        <v>134.80000000000001</v>
      </c>
      <c r="BL83">
        <v>134.1</v>
      </c>
      <c r="BM83">
        <v>134.1</v>
      </c>
      <c r="BN83">
        <v>134</v>
      </c>
      <c r="BO83">
        <v>134</v>
      </c>
      <c r="BP83">
        <v>134.80000000000001</v>
      </c>
      <c r="BQ83">
        <v>135.4</v>
      </c>
      <c r="BR83">
        <v>136.19999999999999</v>
      </c>
      <c r="BS83">
        <v>137.5</v>
      </c>
      <c r="BT83">
        <v>138</v>
      </c>
      <c r="BU83">
        <v>138.1</v>
      </c>
      <c r="BV83">
        <v>138.9</v>
      </c>
      <c r="BW83">
        <v>139</v>
      </c>
      <c r="BX83">
        <v>138</v>
      </c>
      <c r="BY83">
        <v>138</v>
      </c>
      <c r="BZ83">
        <v>138.6</v>
      </c>
      <c r="CA83">
        <v>139.5</v>
      </c>
      <c r="CB83">
        <v>141.5</v>
      </c>
      <c r="CC83">
        <v>142.1</v>
      </c>
      <c r="CD83">
        <v>143.30000000000001</v>
      </c>
      <c r="CE83">
        <v>144.19999999999999</v>
      </c>
      <c r="CF83">
        <v>144.69999999999999</v>
      </c>
      <c r="CG83">
        <v>146</v>
      </c>
      <c r="CH83">
        <v>147</v>
      </c>
      <c r="CI83">
        <v>148.30000000000001</v>
      </c>
      <c r="CJ83">
        <v>148.19999999999999</v>
      </c>
      <c r="CK83">
        <v>147.69999999999999</v>
      </c>
      <c r="CL83">
        <v>147.30000000000001</v>
      </c>
      <c r="CM83" t="s">
        <v>32</v>
      </c>
      <c r="CN83" t="s">
        <v>32</v>
      </c>
      <c r="CO83">
        <v>150.80000000000001</v>
      </c>
      <c r="CP83">
        <v>150.80000000000001</v>
      </c>
      <c r="CQ83">
        <v>152.9</v>
      </c>
      <c r="CR83">
        <v>154</v>
      </c>
      <c r="CS83">
        <v>155.19999999999999</v>
      </c>
      <c r="CT83">
        <v>156.69999999999999</v>
      </c>
      <c r="CU83">
        <v>156.9</v>
      </c>
      <c r="CV83">
        <v>156</v>
      </c>
      <c r="CW83">
        <v>156.5</v>
      </c>
      <c r="CX83">
        <v>156.9</v>
      </c>
      <c r="CY83">
        <v>158</v>
      </c>
      <c r="CZ83">
        <v>159.5</v>
      </c>
      <c r="DA83">
        <v>160.4</v>
      </c>
      <c r="DB83">
        <v>161.80000000000001</v>
      </c>
      <c r="DC83">
        <v>162.30000000000001</v>
      </c>
      <c r="DD83">
        <v>162.30000000000001</v>
      </c>
      <c r="DE83">
        <v>164.6</v>
      </c>
      <c r="DF83">
        <v>165.6</v>
      </c>
      <c r="DG83">
        <v>165.2</v>
      </c>
      <c r="DH83">
        <v>165</v>
      </c>
      <c r="DI83">
        <v>165.5</v>
      </c>
      <c r="DJ83">
        <v>166.5</v>
      </c>
      <c r="DK83">
        <v>169.2</v>
      </c>
      <c r="DL83">
        <v>170.8</v>
      </c>
      <c r="DM83">
        <v>171.4</v>
      </c>
      <c r="DN83">
        <v>172.3</v>
      </c>
      <c r="DO83">
        <v>173.1</v>
      </c>
      <c r="DP83">
        <v>174.1</v>
      </c>
      <c r="DQ83">
        <v>175.3</v>
      </c>
      <c r="DR83">
        <v>174.1</v>
      </c>
      <c r="DS83">
        <v>174.1</v>
      </c>
      <c r="DT83">
        <v>174.9</v>
      </c>
      <c r="DU83">
        <v>176.3</v>
      </c>
      <c r="DV83">
        <v>176.3</v>
      </c>
      <c r="DW83">
        <v>177.4</v>
      </c>
      <c r="DX83">
        <v>178.2</v>
      </c>
    </row>
  </sheetData>
  <autoFilter ref="B1:B83" xr:uid="{CA9FFCFA-0E08-4312-AE2A-399A0A09D86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78D9-86DA-4D6E-A460-EF29B06DBC8C}">
  <dimension ref="A9:Q34"/>
  <sheetViews>
    <sheetView zoomScale="87" zoomScaleNormal="87" workbookViewId="0">
      <selection activeCell="C15" sqref="C15"/>
    </sheetView>
  </sheetViews>
  <sheetFormatPr defaultRowHeight="14.4" x14ac:dyDescent="0.3"/>
  <cols>
    <col min="1" max="1" width="7.88671875" customWidth="1"/>
    <col min="2" max="2" width="16.33203125" customWidth="1"/>
    <col min="3" max="8" width="13.5546875" customWidth="1"/>
  </cols>
  <sheetData>
    <row r="9" spans="1:8" ht="14.4" customHeight="1" x14ac:dyDescent="0.3">
      <c r="B9" s="190" t="s">
        <v>186</v>
      </c>
      <c r="C9" s="190"/>
      <c r="D9" s="190"/>
      <c r="E9" s="190"/>
      <c r="F9" s="190"/>
    </row>
    <row r="10" spans="1:8" x14ac:dyDescent="0.3">
      <c r="B10" s="190"/>
      <c r="C10" s="190"/>
      <c r="D10" s="190"/>
      <c r="E10" s="190"/>
      <c r="F10" s="190"/>
    </row>
    <row r="13" spans="1:8" ht="15.6" x14ac:dyDescent="0.3">
      <c r="C13" s="182" t="s">
        <v>71</v>
      </c>
      <c r="D13" s="182"/>
      <c r="E13" s="182"/>
      <c r="F13" s="182"/>
      <c r="G13" s="182"/>
      <c r="H13" s="182"/>
    </row>
    <row r="14" spans="1:8" x14ac:dyDescent="0.3">
      <c r="C14" s="23" t="s">
        <v>30</v>
      </c>
      <c r="D14" s="23" t="s">
        <v>34</v>
      </c>
      <c r="E14" s="23" t="s">
        <v>33</v>
      </c>
      <c r="F14" s="23" t="s">
        <v>72</v>
      </c>
      <c r="G14" s="23" t="s">
        <v>73</v>
      </c>
      <c r="H14" s="23" t="s">
        <v>74</v>
      </c>
    </row>
    <row r="15" spans="1:8" x14ac:dyDescent="0.3">
      <c r="A15" s="183" t="s">
        <v>75</v>
      </c>
      <c r="B15" s="21" t="s">
        <v>66</v>
      </c>
      <c r="C15" s="25">
        <f t="shared" ref="C15:E23" si="0">SUMIFS(May_2023,Broader_Category,$B15,Sector,C$14)</f>
        <v>2112.0000000000005</v>
      </c>
      <c r="D15" s="25">
        <f t="shared" si="0"/>
        <v>2133.5</v>
      </c>
      <c r="E15" s="25">
        <f t="shared" si="0"/>
        <v>2169.2000000000003</v>
      </c>
      <c r="F15" s="26">
        <f>C15/$C$24</f>
        <v>0.46945852227260604</v>
      </c>
      <c r="G15" s="26">
        <f>D15/$D$24</f>
        <v>0.45838346510828459</v>
      </c>
      <c r="H15" s="26">
        <f>E15/$E$24</f>
        <v>0.46740933870585455</v>
      </c>
    </row>
    <row r="16" spans="1:8" x14ac:dyDescent="0.3">
      <c r="A16" s="183"/>
      <c r="B16" s="21" t="s">
        <v>67</v>
      </c>
      <c r="C16" s="25">
        <f t="shared" si="0"/>
        <v>552.40000000000009</v>
      </c>
      <c r="D16" s="25">
        <f t="shared" si="0"/>
        <v>545.59999999999991</v>
      </c>
      <c r="E16" s="25">
        <f t="shared" si="0"/>
        <v>539.29999999999995</v>
      </c>
      <c r="F16" s="26">
        <f t="shared" ref="F16:F22" si="1">C16/$C$24</f>
        <v>0.12278829910198275</v>
      </c>
      <c r="G16" s="26">
        <f t="shared" ref="G16:G22" si="2">D16/$D$24</f>
        <v>0.11722241320041248</v>
      </c>
      <c r="H16" s="26">
        <f t="shared" ref="H16:H22" si="3">E16/$E$24</f>
        <v>0.11620590833674503</v>
      </c>
    </row>
    <row r="17" spans="1:17" x14ac:dyDescent="0.3">
      <c r="A17" s="183"/>
      <c r="B17" s="21" t="s">
        <v>17</v>
      </c>
      <c r="C17" s="25">
        <f t="shared" si="0"/>
        <v>569.90000000000009</v>
      </c>
      <c r="D17" s="25">
        <f t="shared" si="0"/>
        <v>553.20000000000005</v>
      </c>
      <c r="E17" s="25">
        <f t="shared" si="0"/>
        <v>528.70000000000005</v>
      </c>
      <c r="F17" s="26">
        <f t="shared" si="1"/>
        <v>0.12667822530452563</v>
      </c>
      <c r="G17" s="26">
        <f t="shared" si="2"/>
        <v>0.11885527672739772</v>
      </c>
      <c r="H17" s="26">
        <f t="shared" si="3"/>
        <v>0.1139218686030727</v>
      </c>
    </row>
    <row r="18" spans="1:17" x14ac:dyDescent="0.3">
      <c r="A18" s="183"/>
      <c r="B18" s="21" t="s">
        <v>20</v>
      </c>
      <c r="C18" s="25">
        <f t="shared" si="0"/>
        <v>179.8</v>
      </c>
      <c r="D18" s="25">
        <f t="shared" si="0"/>
        <v>350.79999999999995</v>
      </c>
      <c r="E18" s="25">
        <f t="shared" si="0"/>
        <v>345.7</v>
      </c>
      <c r="F18" s="26">
        <f t="shared" si="1"/>
        <v>3.9966213212412192E-2</v>
      </c>
      <c r="G18" s="26">
        <f t="shared" si="2"/>
        <v>7.5369542798212424E-2</v>
      </c>
      <c r="H18" s="26">
        <f t="shared" si="3"/>
        <v>7.4489861880238747E-2</v>
      </c>
    </row>
    <row r="19" spans="1:17" x14ac:dyDescent="0.3">
      <c r="A19" s="183"/>
      <c r="B19" s="21" t="s">
        <v>68</v>
      </c>
      <c r="C19" s="25">
        <f t="shared" si="0"/>
        <v>537.1</v>
      </c>
      <c r="D19" s="25">
        <f t="shared" si="0"/>
        <v>532.79999999999995</v>
      </c>
      <c r="E19" s="25">
        <f t="shared" si="0"/>
        <v>529.4</v>
      </c>
      <c r="F19" s="26">
        <f t="shared" si="1"/>
        <v>0.11938739219347379</v>
      </c>
      <c r="G19" s="26">
        <f t="shared" si="2"/>
        <v>0.11447232726022685</v>
      </c>
      <c r="H19" s="26">
        <f t="shared" si="3"/>
        <v>0.11407270141567369</v>
      </c>
    </row>
    <row r="20" spans="1:17" x14ac:dyDescent="0.3">
      <c r="A20" s="183"/>
      <c r="B20" s="21" t="s">
        <v>23</v>
      </c>
      <c r="C20" s="25">
        <f t="shared" si="0"/>
        <v>187.8</v>
      </c>
      <c r="D20" s="25">
        <f t="shared" si="0"/>
        <v>185.7</v>
      </c>
      <c r="E20" s="25">
        <f t="shared" si="0"/>
        <v>182.2</v>
      </c>
      <c r="F20" s="26">
        <f t="shared" si="1"/>
        <v>4.174446519071752E-2</v>
      </c>
      <c r="G20" s="26">
        <f t="shared" si="2"/>
        <v>3.9897731179099338E-2</v>
      </c>
      <c r="H20" s="26">
        <f t="shared" si="3"/>
        <v>3.9259626365575645E-2</v>
      </c>
    </row>
    <row r="21" spans="1:17" x14ac:dyDescent="0.3">
      <c r="A21" s="183"/>
      <c r="B21" s="21" t="s">
        <v>26</v>
      </c>
      <c r="C21" s="25">
        <f t="shared" si="0"/>
        <v>180.3</v>
      </c>
      <c r="D21" s="25">
        <f t="shared" si="0"/>
        <v>177.1</v>
      </c>
      <c r="E21" s="25">
        <f t="shared" si="0"/>
        <v>174.8</v>
      </c>
      <c r="F21" s="26">
        <f t="shared" si="1"/>
        <v>4.0077353961056272E-2</v>
      </c>
      <c r="G21" s="26">
        <f t="shared" si="2"/>
        <v>3.8050017188037119E-2</v>
      </c>
      <c r="H21" s="26">
        <f t="shared" si="3"/>
        <v>3.766510806093646E-2</v>
      </c>
    </row>
    <row r="22" spans="1:17" x14ac:dyDescent="0.3">
      <c r="A22" s="183"/>
      <c r="B22" s="21" t="s">
        <v>69</v>
      </c>
      <c r="C22" s="25">
        <f t="shared" si="0"/>
        <v>179.5</v>
      </c>
      <c r="D22" s="25">
        <f t="shared" si="0"/>
        <v>175.7</v>
      </c>
      <c r="E22" s="25">
        <f t="shared" si="0"/>
        <v>171.6</v>
      </c>
      <c r="F22" s="26">
        <f t="shared" si="1"/>
        <v>3.9899528763225736E-2</v>
      </c>
      <c r="G22" s="26">
        <f t="shared" si="2"/>
        <v>3.7749226538329315E-2</v>
      </c>
      <c r="H22" s="26">
        <f t="shared" si="3"/>
        <v>3.6975586631903298E-2</v>
      </c>
    </row>
    <row r="23" spans="1:17" x14ac:dyDescent="0.3">
      <c r="A23" s="183"/>
      <c r="B23" s="22" t="s">
        <v>70</v>
      </c>
      <c r="C23" s="27">
        <f t="shared" si="0"/>
        <v>179.8</v>
      </c>
      <c r="D23" s="27">
        <f t="shared" si="0"/>
        <v>179.1</v>
      </c>
      <c r="E23" s="27">
        <f t="shared" si="0"/>
        <v>178.2</v>
      </c>
      <c r="F23" s="20" t="s">
        <v>48</v>
      </c>
      <c r="G23" s="25" t="s">
        <v>48</v>
      </c>
      <c r="H23" s="25" t="s">
        <v>48</v>
      </c>
    </row>
    <row r="24" spans="1:17" x14ac:dyDescent="0.3">
      <c r="B24" s="24" t="s">
        <v>77</v>
      </c>
      <c r="C24" s="28">
        <f>SUM(C15:C22)</f>
        <v>4498.8000000000011</v>
      </c>
      <c r="D24" s="28">
        <f t="shared" ref="D24:E24" si="4">SUM(D15:D22)</f>
        <v>4654.4000000000005</v>
      </c>
      <c r="E24" s="28">
        <f t="shared" si="4"/>
        <v>4640.8999999999996</v>
      </c>
      <c r="F24" s="29">
        <f>SUM(F15:F22)</f>
        <v>1</v>
      </c>
      <c r="G24" s="29">
        <f t="shared" ref="G24:H24" si="5">SUM(G15:G22)</f>
        <v>0.99999999999999978</v>
      </c>
      <c r="H24" s="29">
        <f t="shared" si="5"/>
        <v>1.0000000000000002</v>
      </c>
    </row>
    <row r="26" spans="1:17" ht="28.8" x14ac:dyDescent="0.3">
      <c r="C26" s="55" t="s">
        <v>78</v>
      </c>
      <c r="D26" s="56" t="s">
        <v>30</v>
      </c>
    </row>
    <row r="27" spans="1:17" x14ac:dyDescent="0.3">
      <c r="C27" s="33" t="s">
        <v>66</v>
      </c>
      <c r="D27" s="47">
        <v>0.46945852227260604</v>
      </c>
      <c r="J27" s="30" t="s">
        <v>79</v>
      </c>
      <c r="K27" s="184" t="s">
        <v>88</v>
      </c>
      <c r="L27" s="184"/>
      <c r="M27" s="184"/>
      <c r="N27" s="184"/>
      <c r="O27" s="184"/>
      <c r="P27" s="184"/>
      <c r="Q27" s="185"/>
    </row>
    <row r="28" spans="1:17" x14ac:dyDescent="0.3">
      <c r="C28" s="33" t="s">
        <v>67</v>
      </c>
      <c r="D28" s="47">
        <v>0.12278829910198275</v>
      </c>
      <c r="J28" s="31"/>
      <c r="K28" s="186"/>
      <c r="L28" s="186"/>
      <c r="M28" s="186"/>
      <c r="N28" s="186"/>
      <c r="O28" s="186"/>
      <c r="P28" s="186"/>
      <c r="Q28" s="187"/>
    </row>
    <row r="29" spans="1:17" x14ac:dyDescent="0.3">
      <c r="C29" s="33" t="s">
        <v>17</v>
      </c>
      <c r="D29" s="47">
        <v>0.12667822530452563</v>
      </c>
      <c r="J29" s="31"/>
      <c r="K29" s="186"/>
      <c r="L29" s="186"/>
      <c r="M29" s="186"/>
      <c r="N29" s="186"/>
      <c r="O29" s="186"/>
      <c r="P29" s="186"/>
      <c r="Q29" s="187"/>
    </row>
    <row r="30" spans="1:17" x14ac:dyDescent="0.3">
      <c r="C30" s="33" t="s">
        <v>20</v>
      </c>
      <c r="D30" s="47">
        <v>3.9966213212412192E-2</v>
      </c>
      <c r="J30" s="31"/>
      <c r="K30" s="186"/>
      <c r="L30" s="186"/>
      <c r="M30" s="188"/>
      <c r="N30" s="188"/>
      <c r="O30" s="188"/>
      <c r="P30" s="188"/>
      <c r="Q30" s="189"/>
    </row>
    <row r="31" spans="1:17" x14ac:dyDescent="0.3">
      <c r="C31" s="33" t="s">
        <v>68</v>
      </c>
      <c r="D31" s="47">
        <v>0.11938739219347379</v>
      </c>
      <c r="K31" s="32"/>
      <c r="L31" s="32"/>
    </row>
    <row r="32" spans="1:17" x14ac:dyDescent="0.3">
      <c r="C32" s="33" t="s">
        <v>23</v>
      </c>
      <c r="D32" s="47">
        <v>4.174446519071752E-2</v>
      </c>
    </row>
    <row r="33" spans="3:4" x14ac:dyDescent="0.3">
      <c r="C33" s="33" t="s">
        <v>26</v>
      </c>
      <c r="D33" s="47">
        <v>4.0077353961056272E-2</v>
      </c>
    </row>
    <row r="34" spans="3:4" x14ac:dyDescent="0.3">
      <c r="C34" s="33" t="s">
        <v>69</v>
      </c>
      <c r="D34" s="47">
        <v>3.9899528763225736E-2</v>
      </c>
    </row>
  </sheetData>
  <mergeCells count="4">
    <mergeCell ref="C13:H13"/>
    <mergeCell ref="A15:A23"/>
    <mergeCell ref="K27:Q30"/>
    <mergeCell ref="B9:F10"/>
  </mergeCells>
  <conditionalFormatting sqref="D27:D34">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5C57A-857F-4F4F-8193-8659696B7F9E}">
  <dimension ref="A7:M31"/>
  <sheetViews>
    <sheetView topLeftCell="A3" zoomScale="108" workbookViewId="0">
      <selection activeCell="C13" sqref="C13"/>
    </sheetView>
  </sheetViews>
  <sheetFormatPr defaultRowHeight="14.4" x14ac:dyDescent="0.3"/>
  <cols>
    <col min="1" max="1" width="5.5546875" customWidth="1"/>
    <col min="2" max="4" width="12.77734375" customWidth="1"/>
    <col min="5" max="5" width="13.44140625" customWidth="1"/>
  </cols>
  <sheetData>
    <row r="7" spans="1:6" x14ac:dyDescent="0.3">
      <c r="C7" s="191" t="s">
        <v>184</v>
      </c>
      <c r="D7" s="191"/>
      <c r="E7" s="191"/>
      <c r="F7" s="191"/>
    </row>
    <row r="8" spans="1:6" x14ac:dyDescent="0.3">
      <c r="C8" s="191"/>
      <c r="D8" s="191"/>
      <c r="E8" s="191"/>
      <c r="F8" s="191"/>
    </row>
    <row r="10" spans="1:6" x14ac:dyDescent="0.3">
      <c r="C10" s="195" t="s">
        <v>80</v>
      </c>
      <c r="D10" s="196"/>
      <c r="E10" s="197"/>
    </row>
    <row r="11" spans="1:6" x14ac:dyDescent="0.3">
      <c r="B11" s="39" t="s">
        <v>81</v>
      </c>
      <c r="C11" s="39" t="s">
        <v>55</v>
      </c>
      <c r="D11" s="40" t="s">
        <v>56</v>
      </c>
      <c r="E11" s="41" t="s">
        <v>57</v>
      </c>
    </row>
    <row r="12" spans="1:6" x14ac:dyDescent="0.3">
      <c r="A12" s="192" t="s">
        <v>82</v>
      </c>
      <c r="B12" s="42">
        <v>2017</v>
      </c>
      <c r="C12" s="34">
        <v>130.30000000000001</v>
      </c>
      <c r="D12" s="37">
        <v>137.19999999999999</v>
      </c>
      <c r="E12" s="38">
        <f>(D12-C12)/C12</f>
        <v>5.295471987720627E-2</v>
      </c>
    </row>
    <row r="13" spans="1:6" x14ac:dyDescent="0.3">
      <c r="A13" s="193"/>
      <c r="B13" s="43">
        <v>2018</v>
      </c>
      <c r="C13" s="34">
        <v>136.9</v>
      </c>
      <c r="D13" s="35">
        <v>140.1</v>
      </c>
      <c r="E13" s="38">
        <f t="shared" ref="E13:E17" si="0">(D13-C13)/C13</f>
        <v>2.3374726077428697E-2</v>
      </c>
    </row>
    <row r="14" spans="1:6" x14ac:dyDescent="0.3">
      <c r="A14" s="193"/>
      <c r="B14" s="43">
        <v>2019</v>
      </c>
      <c r="C14" s="34">
        <v>139.6</v>
      </c>
      <c r="D14" s="35">
        <v>150.4</v>
      </c>
      <c r="E14" s="38">
        <f t="shared" si="0"/>
        <v>7.7363896848137617E-2</v>
      </c>
    </row>
    <row r="15" spans="1:6" x14ac:dyDescent="0.3">
      <c r="A15" s="193"/>
      <c r="B15" s="43">
        <v>2020</v>
      </c>
      <c r="C15" s="34">
        <v>150.19999999999999</v>
      </c>
      <c r="D15" s="35">
        <v>158.9</v>
      </c>
      <c r="E15" s="38">
        <f t="shared" si="0"/>
        <v>5.7922769640479481E-2</v>
      </c>
    </row>
    <row r="16" spans="1:6" x14ac:dyDescent="0.3">
      <c r="A16" s="193"/>
      <c r="B16" s="43">
        <v>2021</v>
      </c>
      <c r="C16" s="34">
        <v>157.30000000000001</v>
      </c>
      <c r="D16" s="35">
        <v>166.2</v>
      </c>
      <c r="E16" s="38">
        <f t="shared" si="0"/>
        <v>5.657978385251098E-2</v>
      </c>
    </row>
    <row r="17" spans="1:13" x14ac:dyDescent="0.3">
      <c r="A17" s="193"/>
      <c r="B17" s="43">
        <v>2022</v>
      </c>
      <c r="C17" s="34">
        <v>165.7</v>
      </c>
      <c r="D17" s="35">
        <v>175.7</v>
      </c>
      <c r="E17" s="38">
        <f t="shared" si="0"/>
        <v>6.0350030175015092E-2</v>
      </c>
    </row>
    <row r="18" spans="1:13" x14ac:dyDescent="0.3">
      <c r="A18" s="194"/>
      <c r="B18" s="43">
        <v>2023</v>
      </c>
      <c r="C18" s="34">
        <v>176.5</v>
      </c>
      <c r="D18" s="36" t="s">
        <v>48</v>
      </c>
      <c r="E18" s="38" t="s">
        <v>48</v>
      </c>
    </row>
    <row r="21" spans="1:13" x14ac:dyDescent="0.3">
      <c r="B21" s="45" t="s">
        <v>81</v>
      </c>
      <c r="C21" s="46" t="s">
        <v>57</v>
      </c>
    </row>
    <row r="22" spans="1:13" x14ac:dyDescent="0.3">
      <c r="B22" s="57">
        <v>2017</v>
      </c>
      <c r="C22" s="38">
        <v>5.295471987720627E-2</v>
      </c>
    </row>
    <row r="23" spans="1:13" x14ac:dyDescent="0.3">
      <c r="B23" s="57">
        <v>2018</v>
      </c>
      <c r="C23" s="38">
        <v>2.3374726077428697E-2</v>
      </c>
      <c r="D23" s="48"/>
    </row>
    <row r="24" spans="1:13" x14ac:dyDescent="0.3">
      <c r="B24" s="57">
        <v>2019</v>
      </c>
      <c r="C24" s="38">
        <v>7.7363896848137617E-2</v>
      </c>
    </row>
    <row r="25" spans="1:13" ht="14.4" customHeight="1" x14ac:dyDescent="0.3">
      <c r="B25" s="57">
        <v>2020</v>
      </c>
      <c r="C25" s="38">
        <v>5.7922769640479481E-2</v>
      </c>
      <c r="G25" s="2" t="s">
        <v>79</v>
      </c>
      <c r="H25" s="198" t="s">
        <v>96</v>
      </c>
      <c r="I25" s="198"/>
      <c r="J25" s="198"/>
      <c r="K25" s="198"/>
      <c r="L25" s="198"/>
      <c r="M25" s="198"/>
    </row>
    <row r="26" spans="1:13" x14ac:dyDescent="0.3">
      <c r="B26" s="57">
        <v>2021</v>
      </c>
      <c r="C26" s="38">
        <v>5.657978385251098E-2</v>
      </c>
      <c r="H26" s="198"/>
      <c r="I26" s="198"/>
      <c r="J26" s="198"/>
      <c r="K26" s="198"/>
      <c r="L26" s="198"/>
      <c r="M26" s="198"/>
    </row>
    <row r="27" spans="1:13" x14ac:dyDescent="0.3">
      <c r="B27" s="57">
        <v>2022</v>
      </c>
      <c r="C27" s="38">
        <v>6.0350030175015092E-2</v>
      </c>
      <c r="H27" s="198"/>
      <c r="I27" s="198"/>
      <c r="J27" s="198"/>
      <c r="K27" s="198"/>
      <c r="L27" s="198"/>
      <c r="M27" s="198"/>
    </row>
    <row r="28" spans="1:13" x14ac:dyDescent="0.3">
      <c r="B28" s="57">
        <v>2023</v>
      </c>
      <c r="C28" s="38" t="s">
        <v>48</v>
      </c>
      <c r="H28" s="198"/>
      <c r="I28" s="198"/>
      <c r="J28" s="198"/>
      <c r="K28" s="198"/>
      <c r="L28" s="198"/>
      <c r="M28" s="198"/>
    </row>
    <row r="29" spans="1:13" x14ac:dyDescent="0.3">
      <c r="H29" s="198"/>
      <c r="I29" s="198"/>
      <c r="J29" s="198"/>
      <c r="K29" s="198"/>
      <c r="L29" s="198"/>
      <c r="M29" s="198"/>
    </row>
    <row r="30" spans="1:13" x14ac:dyDescent="0.3">
      <c r="H30" s="44"/>
      <c r="I30" s="44"/>
      <c r="J30" s="44"/>
      <c r="K30" s="44"/>
      <c r="L30" s="44"/>
      <c r="M30" s="44"/>
    </row>
    <row r="31" spans="1:13" x14ac:dyDescent="0.3">
      <c r="H31" s="44"/>
      <c r="I31" s="44"/>
      <c r="J31" s="44"/>
      <c r="K31" s="44"/>
      <c r="L31" s="44"/>
      <c r="M31" s="44"/>
    </row>
  </sheetData>
  <mergeCells count="4">
    <mergeCell ref="C7:F8"/>
    <mergeCell ref="A12:A18"/>
    <mergeCell ref="C10:E10"/>
    <mergeCell ref="H25:M29"/>
  </mergeCells>
  <conditionalFormatting sqref="C22:C28">
    <cfRule type="colorScale" priority="3">
      <colorScale>
        <cfvo type="min"/>
        <cfvo type="percentile" val="50"/>
        <cfvo type="max"/>
        <color rgb="FF63BE7B"/>
        <color rgb="FFFFEB84"/>
        <color rgb="FFF8696B"/>
      </colorScale>
    </cfRule>
  </conditionalFormatting>
  <conditionalFormatting sqref="E12:E18">
    <cfRule type="colorScale" priority="2">
      <colorScale>
        <cfvo type="min"/>
        <cfvo type="percentile" val="50"/>
        <cfvo type="max"/>
        <color rgb="FF63BE7B"/>
        <color rgb="FFFFEB84"/>
        <color rgb="FFF8696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2B639-F8A1-4A65-AAFF-E63D71A9CAF2}">
  <dimension ref="C9:AA43"/>
  <sheetViews>
    <sheetView zoomScale="85" workbookViewId="0">
      <selection activeCell="F25" sqref="F25"/>
    </sheetView>
  </sheetViews>
  <sheetFormatPr defaultRowHeight="14.4" x14ac:dyDescent="0.3"/>
  <cols>
    <col min="3" max="3" width="5.33203125" customWidth="1"/>
    <col min="4" max="4" width="30.44140625" bestFit="1" customWidth="1"/>
    <col min="7" max="7" width="9.21875" customWidth="1"/>
  </cols>
  <sheetData>
    <row r="9" spans="3:22" ht="18" x14ac:dyDescent="0.3">
      <c r="E9" s="200" t="s">
        <v>90</v>
      </c>
      <c r="F9" s="200"/>
      <c r="G9" s="200"/>
      <c r="H9" s="200"/>
      <c r="I9" s="200"/>
      <c r="J9" s="200"/>
      <c r="K9" s="200"/>
      <c r="L9" s="200"/>
      <c r="M9" s="200"/>
      <c r="N9" s="200"/>
      <c r="O9" s="200"/>
      <c r="P9" s="200"/>
      <c r="Q9" s="200"/>
    </row>
    <row r="10" spans="3:22" x14ac:dyDescent="0.3">
      <c r="E10" s="99">
        <v>2022</v>
      </c>
      <c r="F10" s="99">
        <v>2022</v>
      </c>
      <c r="G10" s="99">
        <v>2022</v>
      </c>
      <c r="H10" s="99">
        <v>2022</v>
      </c>
      <c r="I10" s="99">
        <v>2022</v>
      </c>
      <c r="J10" s="99">
        <v>2022</v>
      </c>
      <c r="K10" s="99">
        <v>2022</v>
      </c>
      <c r="L10" s="99">
        <v>2022</v>
      </c>
      <c r="M10" s="99">
        <v>2023</v>
      </c>
      <c r="N10" s="99">
        <v>2023</v>
      </c>
      <c r="O10" s="99">
        <v>2023</v>
      </c>
      <c r="P10" s="99">
        <v>2023</v>
      </c>
      <c r="Q10" s="99">
        <v>2023</v>
      </c>
    </row>
    <row r="11" spans="3:22" x14ac:dyDescent="0.3">
      <c r="D11" s="20"/>
      <c r="E11" s="99" t="s">
        <v>38</v>
      </c>
      <c r="F11" s="99" t="s">
        <v>39</v>
      </c>
      <c r="G11" s="99" t="s">
        <v>40</v>
      </c>
      <c r="H11" s="99" t="s">
        <v>41</v>
      </c>
      <c r="I11" s="99" t="s">
        <v>42</v>
      </c>
      <c r="J11" s="99" t="s">
        <v>43</v>
      </c>
      <c r="K11" s="99" t="s">
        <v>45</v>
      </c>
      <c r="L11" s="99" t="s">
        <v>46</v>
      </c>
      <c r="M11" s="99" t="s">
        <v>31</v>
      </c>
      <c r="N11" s="99" t="s">
        <v>35</v>
      </c>
      <c r="O11" s="99" t="s">
        <v>36</v>
      </c>
      <c r="P11" s="99" t="s">
        <v>37</v>
      </c>
      <c r="Q11" s="99" t="s">
        <v>38</v>
      </c>
    </row>
    <row r="12" spans="3:22" x14ac:dyDescent="0.3">
      <c r="C12" s="199" t="s">
        <v>87</v>
      </c>
      <c r="D12" s="105" t="s">
        <v>3</v>
      </c>
      <c r="E12" s="66">
        <v>154.1</v>
      </c>
      <c r="F12" s="67">
        <v>155</v>
      </c>
      <c r="G12" s="66">
        <v>156.5</v>
      </c>
      <c r="H12" s="66">
        <v>160.30000000000001</v>
      </c>
      <c r="I12" s="67">
        <v>163.5</v>
      </c>
      <c r="J12" s="68">
        <v>165.2</v>
      </c>
      <c r="K12" s="69">
        <v>167.4</v>
      </c>
      <c r="L12" s="69">
        <v>169.2</v>
      </c>
      <c r="M12" s="69">
        <v>173.8</v>
      </c>
      <c r="N12" s="70">
        <v>174.4</v>
      </c>
      <c r="O12" s="71">
        <v>174.4</v>
      </c>
      <c r="P12" s="72">
        <v>173.8</v>
      </c>
      <c r="Q12" s="73">
        <v>173.7</v>
      </c>
    </row>
    <row r="13" spans="3:22" x14ac:dyDescent="0.3">
      <c r="C13" s="199"/>
      <c r="D13" s="101" t="s">
        <v>4</v>
      </c>
      <c r="E13" s="75">
        <v>217</v>
      </c>
      <c r="F13" s="74">
        <v>219.4</v>
      </c>
      <c r="G13" s="75">
        <v>213</v>
      </c>
      <c r="H13" s="75">
        <v>206.5</v>
      </c>
      <c r="I13" s="74">
        <v>209.2</v>
      </c>
      <c r="J13" s="72">
        <v>210.9</v>
      </c>
      <c r="K13" s="76">
        <v>209.4</v>
      </c>
      <c r="L13" s="76">
        <v>209</v>
      </c>
      <c r="M13" s="76">
        <v>210.7</v>
      </c>
      <c r="N13" s="73">
        <v>207.7</v>
      </c>
      <c r="O13" s="77">
        <v>207.7</v>
      </c>
      <c r="P13" s="78">
        <v>209.3</v>
      </c>
      <c r="Q13" s="79">
        <v>214.3</v>
      </c>
    </row>
    <row r="14" spans="3:22" x14ac:dyDescent="0.3">
      <c r="C14" s="199"/>
      <c r="D14" s="102" t="s">
        <v>5</v>
      </c>
      <c r="E14" s="81">
        <v>162.4</v>
      </c>
      <c r="F14" s="80">
        <v>170.8</v>
      </c>
      <c r="G14" s="81">
        <v>175.2</v>
      </c>
      <c r="H14" s="81">
        <v>169.2</v>
      </c>
      <c r="I14" s="80">
        <v>169.7</v>
      </c>
      <c r="J14" s="78">
        <v>170.9</v>
      </c>
      <c r="K14" s="82">
        <v>181.4</v>
      </c>
      <c r="L14" s="82">
        <v>190.2</v>
      </c>
      <c r="M14" s="82">
        <v>194.5</v>
      </c>
      <c r="N14" s="79">
        <v>175.2</v>
      </c>
      <c r="O14" s="77">
        <v>175.2</v>
      </c>
      <c r="P14" s="78">
        <v>169.6</v>
      </c>
      <c r="Q14" s="79">
        <v>173.2</v>
      </c>
      <c r="V14" s="64"/>
    </row>
    <row r="15" spans="3:22" x14ac:dyDescent="0.3">
      <c r="C15" s="199"/>
      <c r="D15" s="103" t="s">
        <v>6</v>
      </c>
      <c r="E15" s="84">
        <v>164.9</v>
      </c>
      <c r="F15" s="83">
        <v>165.8</v>
      </c>
      <c r="G15" s="84">
        <v>166.6</v>
      </c>
      <c r="H15" s="84">
        <v>168.1</v>
      </c>
      <c r="I15" s="83">
        <v>169.7</v>
      </c>
      <c r="J15" s="85">
        <v>170.9</v>
      </c>
      <c r="K15" s="86">
        <v>172.3</v>
      </c>
      <c r="L15" s="86">
        <v>173.6</v>
      </c>
      <c r="M15" s="86">
        <v>174.6</v>
      </c>
      <c r="N15" s="87">
        <v>177.3</v>
      </c>
      <c r="O15" s="88">
        <v>177.3</v>
      </c>
      <c r="P15" s="85">
        <v>178.4</v>
      </c>
      <c r="Q15" s="87">
        <v>179.5</v>
      </c>
      <c r="V15" s="64"/>
    </row>
    <row r="16" spans="3:22" x14ac:dyDescent="0.3">
      <c r="C16" s="199"/>
      <c r="D16" s="104" t="s">
        <v>7</v>
      </c>
      <c r="E16" s="90">
        <v>202.4</v>
      </c>
      <c r="F16" s="89">
        <v>200.9</v>
      </c>
      <c r="G16" s="90">
        <v>195.8</v>
      </c>
      <c r="H16" s="90">
        <v>192.4</v>
      </c>
      <c r="I16" s="89">
        <v>188.7</v>
      </c>
      <c r="J16" s="91">
        <v>186.5</v>
      </c>
      <c r="K16" s="92">
        <v>188.9</v>
      </c>
      <c r="L16" s="92">
        <v>188.5</v>
      </c>
      <c r="M16" s="92">
        <v>187.2</v>
      </c>
      <c r="N16" s="93">
        <v>179.3</v>
      </c>
      <c r="O16" s="71">
        <v>179.2</v>
      </c>
      <c r="P16" s="91">
        <v>174.9</v>
      </c>
      <c r="Q16" s="93">
        <v>170</v>
      </c>
      <c r="V16" s="64"/>
    </row>
    <row r="17" spans="3:27" x14ac:dyDescent="0.3">
      <c r="C17" s="199"/>
      <c r="D17" s="102" t="s">
        <v>8</v>
      </c>
      <c r="E17" s="81">
        <v>171</v>
      </c>
      <c r="F17" s="80">
        <v>169.7</v>
      </c>
      <c r="G17" s="81">
        <v>174.2</v>
      </c>
      <c r="H17" s="81">
        <v>172.9</v>
      </c>
      <c r="I17" s="80">
        <v>165.7</v>
      </c>
      <c r="J17" s="78">
        <v>163.80000000000001</v>
      </c>
      <c r="K17" s="82">
        <v>160.69999999999999</v>
      </c>
      <c r="L17" s="82">
        <v>158</v>
      </c>
      <c r="M17" s="82">
        <v>158.30000000000001</v>
      </c>
      <c r="N17" s="79">
        <v>169.5</v>
      </c>
      <c r="O17" s="77">
        <v>169.5</v>
      </c>
      <c r="P17" s="78">
        <v>176.3</v>
      </c>
      <c r="Q17" s="79">
        <v>172.2</v>
      </c>
      <c r="V17" s="64"/>
    </row>
    <row r="18" spans="3:27" x14ac:dyDescent="0.3">
      <c r="C18" s="199"/>
      <c r="D18" s="103" t="s">
        <v>9</v>
      </c>
      <c r="E18" s="84">
        <v>174.9</v>
      </c>
      <c r="F18" s="83">
        <v>182.3</v>
      </c>
      <c r="G18" s="84">
        <v>182.1</v>
      </c>
      <c r="H18" s="84">
        <v>186.7</v>
      </c>
      <c r="I18" s="83">
        <v>191.8</v>
      </c>
      <c r="J18" s="85">
        <v>199.7</v>
      </c>
      <c r="K18" s="86">
        <v>183.1</v>
      </c>
      <c r="L18" s="86">
        <v>159.9</v>
      </c>
      <c r="M18" s="86">
        <v>153.9</v>
      </c>
      <c r="N18" s="87">
        <v>152.69999999999999</v>
      </c>
      <c r="O18" s="77">
        <v>152.80000000000001</v>
      </c>
      <c r="P18" s="78">
        <v>155.4</v>
      </c>
      <c r="Q18" s="79">
        <v>161</v>
      </c>
      <c r="V18" s="64"/>
    </row>
    <row r="19" spans="3:27" x14ac:dyDescent="0.3">
      <c r="C19" s="199"/>
      <c r="D19" s="104" t="s">
        <v>10</v>
      </c>
      <c r="E19" s="90">
        <v>164.7</v>
      </c>
      <c r="F19" s="89">
        <v>164.3</v>
      </c>
      <c r="G19" s="90">
        <v>164.3</v>
      </c>
      <c r="H19" s="90">
        <v>167.2</v>
      </c>
      <c r="I19" s="89">
        <v>169.1</v>
      </c>
      <c r="J19" s="91">
        <v>169.8</v>
      </c>
      <c r="K19" s="92">
        <v>170.5</v>
      </c>
      <c r="L19" s="92">
        <v>170.8</v>
      </c>
      <c r="M19" s="92">
        <v>170.9</v>
      </c>
      <c r="N19" s="93">
        <v>171</v>
      </c>
      <c r="O19" s="77">
        <v>171.1</v>
      </c>
      <c r="P19" s="78">
        <v>173.4</v>
      </c>
      <c r="Q19" s="79">
        <v>175.6</v>
      </c>
      <c r="V19" s="64"/>
    </row>
    <row r="20" spans="3:27" x14ac:dyDescent="0.3">
      <c r="C20" s="199"/>
      <c r="D20" s="102" t="s">
        <v>11</v>
      </c>
      <c r="E20" s="81">
        <v>119.7</v>
      </c>
      <c r="F20" s="80">
        <v>119.9</v>
      </c>
      <c r="G20" s="81">
        <v>120</v>
      </c>
      <c r="H20" s="81">
        <v>120.9</v>
      </c>
      <c r="I20" s="80">
        <v>121.6</v>
      </c>
      <c r="J20" s="78">
        <v>121.9</v>
      </c>
      <c r="K20" s="82">
        <v>122.1</v>
      </c>
      <c r="L20" s="82">
        <v>121.8</v>
      </c>
      <c r="M20" s="82">
        <v>121.1</v>
      </c>
      <c r="N20" s="79">
        <v>120</v>
      </c>
      <c r="O20" s="77">
        <v>120</v>
      </c>
      <c r="P20" s="78">
        <v>121.3</v>
      </c>
      <c r="Q20" s="79">
        <v>122.7</v>
      </c>
      <c r="V20" s="64"/>
    </row>
    <row r="21" spans="3:27" x14ac:dyDescent="0.3">
      <c r="C21" s="199"/>
      <c r="D21" s="102" t="s">
        <v>12</v>
      </c>
      <c r="E21" s="81">
        <v>184.9</v>
      </c>
      <c r="F21" s="80">
        <v>187.1</v>
      </c>
      <c r="G21" s="81">
        <v>190</v>
      </c>
      <c r="H21" s="81">
        <v>193.6</v>
      </c>
      <c r="I21" s="80">
        <v>197.3</v>
      </c>
      <c r="J21" s="78">
        <v>199.9</v>
      </c>
      <c r="K21" s="82">
        <v>202.8</v>
      </c>
      <c r="L21" s="82">
        <v>205.2</v>
      </c>
      <c r="M21" s="82">
        <v>208.4</v>
      </c>
      <c r="N21" s="79">
        <v>209.7</v>
      </c>
      <c r="O21" s="77">
        <v>209.7</v>
      </c>
      <c r="P21" s="78">
        <v>212.9</v>
      </c>
      <c r="Q21" s="79">
        <v>218</v>
      </c>
      <c r="V21" s="64"/>
    </row>
    <row r="22" spans="3:27" x14ac:dyDescent="0.3">
      <c r="C22" s="199"/>
      <c r="D22" s="102" t="s">
        <v>14</v>
      </c>
      <c r="E22" s="81">
        <v>182.5</v>
      </c>
      <c r="F22" s="80">
        <v>183.9</v>
      </c>
      <c r="G22" s="81">
        <v>185.2</v>
      </c>
      <c r="H22" s="81">
        <v>186.3</v>
      </c>
      <c r="I22" s="80">
        <v>187.4</v>
      </c>
      <c r="J22" s="78">
        <v>188.3</v>
      </c>
      <c r="K22" s="82">
        <v>189.5</v>
      </c>
      <c r="L22" s="82">
        <v>190.3</v>
      </c>
      <c r="M22" s="82">
        <v>191.2</v>
      </c>
      <c r="N22" s="79">
        <v>193</v>
      </c>
      <c r="O22" s="77">
        <v>193</v>
      </c>
      <c r="P22" s="78">
        <v>193.5</v>
      </c>
      <c r="Q22" s="79">
        <v>194.2</v>
      </c>
      <c r="V22" s="64"/>
    </row>
    <row r="23" spans="3:27" ht="15" thickBot="1" x14ac:dyDescent="0.35">
      <c r="C23" s="199"/>
      <c r="D23" s="100" t="s">
        <v>15</v>
      </c>
      <c r="E23" s="94">
        <v>173.3</v>
      </c>
      <c r="F23" s="65">
        <v>174.9</v>
      </c>
      <c r="G23" s="94">
        <v>175</v>
      </c>
      <c r="H23" s="94">
        <v>176.3</v>
      </c>
      <c r="I23" s="65">
        <v>177.8</v>
      </c>
      <c r="J23" s="95">
        <v>179.6</v>
      </c>
      <c r="K23" s="96">
        <v>178.3</v>
      </c>
      <c r="L23" s="96">
        <v>175.9</v>
      </c>
      <c r="M23" s="96">
        <v>176.7</v>
      </c>
      <c r="N23" s="97">
        <v>177</v>
      </c>
      <c r="O23" s="98">
        <v>177</v>
      </c>
      <c r="P23" s="95">
        <v>177.9</v>
      </c>
      <c r="Q23" s="97">
        <v>179.1</v>
      </c>
      <c r="V23" s="64"/>
    </row>
    <row r="24" spans="3:27" ht="15" thickBot="1" x14ac:dyDescent="0.35">
      <c r="D24" s="113" t="s">
        <v>76</v>
      </c>
      <c r="E24" s="114">
        <f>SUM(E12:E23)</f>
        <v>2071.8000000000002</v>
      </c>
      <c r="F24" s="115">
        <f t="shared" ref="F24:Q24" si="0">SUM(F12:F23)</f>
        <v>2094</v>
      </c>
      <c r="G24" s="115">
        <f t="shared" si="0"/>
        <v>2097.9</v>
      </c>
      <c r="H24" s="115">
        <f t="shared" si="0"/>
        <v>2100.4</v>
      </c>
      <c r="I24" s="115">
        <f t="shared" si="0"/>
        <v>2111.5</v>
      </c>
      <c r="J24" s="115">
        <f t="shared" si="0"/>
        <v>2127.4</v>
      </c>
      <c r="K24" s="115">
        <f t="shared" si="0"/>
        <v>2126.3999999999996</v>
      </c>
      <c r="L24" s="115">
        <f t="shared" si="0"/>
        <v>2112.4</v>
      </c>
      <c r="M24" s="115">
        <f t="shared" si="0"/>
        <v>2121.3000000000002</v>
      </c>
      <c r="N24" s="115">
        <f t="shared" si="0"/>
        <v>2106.8000000000002</v>
      </c>
      <c r="O24" s="115">
        <f t="shared" si="0"/>
        <v>2106.8999999999996</v>
      </c>
      <c r="P24" s="115">
        <f t="shared" si="0"/>
        <v>2116.7000000000003</v>
      </c>
      <c r="Q24" s="116">
        <f t="shared" si="0"/>
        <v>2133.5</v>
      </c>
      <c r="V24" s="64"/>
    </row>
    <row r="25" spans="3:27" ht="18.600000000000001" thickBot="1" x14ac:dyDescent="0.35">
      <c r="D25" s="117" t="s">
        <v>84</v>
      </c>
      <c r="E25" s="112" t="s">
        <v>48</v>
      </c>
      <c r="F25" s="118">
        <f>(F24-E24)/E24</f>
        <v>1.0715320011584041E-2</v>
      </c>
      <c r="G25" s="119">
        <f t="shared" ref="G25:Q25" si="1">(G24-F24)/F24</f>
        <v>1.8624641833811322E-3</v>
      </c>
      <c r="H25" s="120">
        <f t="shared" si="1"/>
        <v>1.191667858334525E-3</v>
      </c>
      <c r="I25" s="118">
        <f t="shared" si="1"/>
        <v>5.2847076747285799E-3</v>
      </c>
      <c r="J25" s="121">
        <f t="shared" si="1"/>
        <v>7.5301918067724799E-3</v>
      </c>
      <c r="K25" s="120">
        <f t="shared" si="1"/>
        <v>-4.7005734699654729E-4</v>
      </c>
      <c r="L25" s="120">
        <f t="shared" si="1"/>
        <v>-6.5838976674188997E-3</v>
      </c>
      <c r="M25" s="120">
        <f t="shared" si="1"/>
        <v>4.2132171937133544E-3</v>
      </c>
      <c r="N25" s="118">
        <f t="shared" si="1"/>
        <v>-6.8354311035685655E-3</v>
      </c>
      <c r="O25" s="120">
        <f t="shared" si="1"/>
        <v>4.7465350294026154E-5</v>
      </c>
      <c r="P25" s="121">
        <f t="shared" si="1"/>
        <v>4.6513835492907295E-3</v>
      </c>
      <c r="Q25" s="122">
        <f t="shared" si="1"/>
        <v>7.9368828837339846E-3</v>
      </c>
      <c r="V25" s="64"/>
    </row>
    <row r="28" spans="3:27" ht="14.4" customHeight="1" x14ac:dyDescent="0.3">
      <c r="R28" s="168" t="s">
        <v>79</v>
      </c>
      <c r="S28" s="201" t="s">
        <v>180</v>
      </c>
      <c r="T28" s="202"/>
      <c r="U28" s="202"/>
      <c r="V28" s="202"/>
      <c r="W28" s="202"/>
      <c r="X28" s="202"/>
      <c r="Y28" s="202"/>
      <c r="Z28" s="202"/>
      <c r="AA28" s="203"/>
    </row>
    <row r="29" spans="3:27" ht="15" customHeight="1" thickBot="1" x14ac:dyDescent="0.35">
      <c r="G29" s="106"/>
      <c r="R29" s="31"/>
      <c r="S29" s="204"/>
      <c r="T29" s="205"/>
      <c r="U29" s="205"/>
      <c r="V29" s="205"/>
      <c r="W29" s="205"/>
      <c r="X29" s="205"/>
      <c r="Y29" s="205"/>
      <c r="Z29" s="205"/>
      <c r="AA29" s="206"/>
    </row>
    <row r="30" spans="3:27" ht="28.2" thickBot="1" x14ac:dyDescent="0.35">
      <c r="E30" s="109" t="s">
        <v>1</v>
      </c>
      <c r="F30" s="108" t="s">
        <v>83</v>
      </c>
      <c r="G30" s="107" t="s">
        <v>84</v>
      </c>
      <c r="R30" s="31"/>
      <c r="S30" s="207"/>
      <c r="T30" s="208"/>
      <c r="U30" s="208"/>
      <c r="V30" s="208"/>
      <c r="W30" s="208"/>
      <c r="X30" s="208"/>
      <c r="Y30" s="208"/>
      <c r="Z30" s="208"/>
      <c r="AA30" s="209"/>
    </row>
    <row r="31" spans="3:27" ht="15" thickBot="1" x14ac:dyDescent="0.35">
      <c r="E31" s="110">
        <v>2022</v>
      </c>
      <c r="F31" s="110" t="s">
        <v>38</v>
      </c>
      <c r="G31" s="110" t="s">
        <v>48</v>
      </c>
    </row>
    <row r="32" spans="3:27" ht="15" thickBot="1" x14ac:dyDescent="0.35">
      <c r="E32" s="110">
        <v>2022</v>
      </c>
      <c r="F32" s="110" t="s">
        <v>39</v>
      </c>
      <c r="G32" s="111">
        <v>1.0715320011584041E-2</v>
      </c>
    </row>
    <row r="33" spans="5:7" ht="15" thickBot="1" x14ac:dyDescent="0.35">
      <c r="E33" s="110">
        <v>2022</v>
      </c>
      <c r="F33" s="110" t="s">
        <v>40</v>
      </c>
      <c r="G33" s="111">
        <v>1.8624641833811322E-3</v>
      </c>
    </row>
    <row r="34" spans="5:7" ht="15" thickBot="1" x14ac:dyDescent="0.35">
      <c r="E34" s="110">
        <v>2022</v>
      </c>
      <c r="F34" s="110" t="s">
        <v>91</v>
      </c>
      <c r="G34" s="111">
        <v>1.191667858334525E-3</v>
      </c>
    </row>
    <row r="35" spans="5:7" ht="15" thickBot="1" x14ac:dyDescent="0.35">
      <c r="E35" s="110">
        <v>2022</v>
      </c>
      <c r="F35" s="110" t="s">
        <v>92</v>
      </c>
      <c r="G35" s="111">
        <v>5.2847076747285799E-3</v>
      </c>
    </row>
    <row r="36" spans="5:7" ht="15" thickBot="1" x14ac:dyDescent="0.35">
      <c r="E36" s="110">
        <v>2022</v>
      </c>
      <c r="F36" s="110" t="s">
        <v>93</v>
      </c>
      <c r="G36" s="111">
        <v>7.5301918067724799E-3</v>
      </c>
    </row>
    <row r="37" spans="5:7" ht="15" thickBot="1" x14ac:dyDescent="0.35">
      <c r="E37" s="110">
        <v>2022</v>
      </c>
      <c r="F37" s="110" t="s">
        <v>94</v>
      </c>
      <c r="G37" s="111">
        <v>-4.7005734699654729E-4</v>
      </c>
    </row>
    <row r="38" spans="5:7" ht="15" thickBot="1" x14ac:dyDescent="0.35">
      <c r="E38" s="110">
        <v>2022</v>
      </c>
      <c r="F38" s="110" t="s">
        <v>56</v>
      </c>
      <c r="G38" s="111">
        <v>-6.5838976674188997E-3</v>
      </c>
    </row>
    <row r="39" spans="5:7" ht="15" thickBot="1" x14ac:dyDescent="0.35">
      <c r="E39" s="110">
        <v>2023</v>
      </c>
      <c r="F39" s="110" t="s">
        <v>55</v>
      </c>
      <c r="G39" s="111">
        <v>4.2132171937133544E-3</v>
      </c>
    </row>
    <row r="40" spans="5:7" ht="15" thickBot="1" x14ac:dyDescent="0.35">
      <c r="E40" s="110">
        <v>2023</v>
      </c>
      <c r="F40" s="110" t="s">
        <v>95</v>
      </c>
      <c r="G40" s="111">
        <v>-6.8354311035685655E-3</v>
      </c>
    </row>
    <row r="41" spans="5:7" ht="15" thickBot="1" x14ac:dyDescent="0.35">
      <c r="E41" s="110">
        <v>2023</v>
      </c>
      <c r="F41" s="110" t="s">
        <v>36</v>
      </c>
      <c r="G41" s="111">
        <v>4.7465350294026154E-5</v>
      </c>
    </row>
    <row r="42" spans="5:7" ht="15" thickBot="1" x14ac:dyDescent="0.35">
      <c r="E42" s="110">
        <v>2023</v>
      </c>
      <c r="F42" s="110" t="s">
        <v>37</v>
      </c>
      <c r="G42" s="111">
        <v>4.6513835492907295E-3</v>
      </c>
    </row>
    <row r="43" spans="5:7" ht="15" thickBot="1" x14ac:dyDescent="0.35">
      <c r="E43" s="110">
        <v>2023</v>
      </c>
      <c r="F43" s="110" t="s">
        <v>38</v>
      </c>
      <c r="G43" s="111">
        <v>7.9368828837339846E-3</v>
      </c>
    </row>
  </sheetData>
  <sortState xmlns:xlrd2="http://schemas.microsoft.com/office/spreadsheetml/2017/richdata2" ref="V14:V25">
    <sortCondition descending="1" ref="V14:V25"/>
  </sortState>
  <mergeCells count="3">
    <mergeCell ref="C12:C23"/>
    <mergeCell ref="E9:Q9"/>
    <mergeCell ref="S28:AA30"/>
  </mergeCells>
  <conditionalFormatting sqref="F25:Q25">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F3BB-9E31-4346-8D37-4A08F771F7B1}">
  <dimension ref="B7:Q35"/>
  <sheetViews>
    <sheetView zoomScale="76" workbookViewId="0">
      <selection activeCell="F9" sqref="F9"/>
    </sheetView>
  </sheetViews>
  <sheetFormatPr defaultRowHeight="14.4" x14ac:dyDescent="0.3"/>
  <cols>
    <col min="2" max="2" width="4.77734375" customWidth="1"/>
    <col min="3" max="3" width="27.109375" customWidth="1"/>
    <col min="4" max="4" width="16.88671875" customWidth="1"/>
    <col min="5" max="5" width="15.33203125" customWidth="1"/>
    <col min="6" max="6" width="23.21875" customWidth="1"/>
  </cols>
  <sheetData>
    <row r="7" spans="2:9" ht="15.6" x14ac:dyDescent="0.3">
      <c r="C7" s="49"/>
      <c r="D7" s="54" t="s">
        <v>89</v>
      </c>
      <c r="E7" s="52"/>
      <c r="F7" s="52"/>
      <c r="G7" s="51"/>
      <c r="H7" s="49"/>
      <c r="I7" s="49"/>
    </row>
    <row r="8" spans="2:9" ht="14.4" customHeight="1" x14ac:dyDescent="0.3">
      <c r="B8" s="50"/>
      <c r="D8" s="53" t="s">
        <v>85</v>
      </c>
      <c r="E8" s="53" t="s">
        <v>86</v>
      </c>
      <c r="F8" s="53" t="s">
        <v>57</v>
      </c>
    </row>
    <row r="9" spans="2:9" ht="14.4" customHeight="1" x14ac:dyDescent="0.3">
      <c r="B9" s="210" t="s">
        <v>87</v>
      </c>
      <c r="C9" s="60" t="s">
        <v>3</v>
      </c>
      <c r="D9" s="34">
        <v>155</v>
      </c>
      <c r="E9" s="34">
        <v>173.7</v>
      </c>
      <c r="F9" s="38">
        <f>(E9-D9)/D9</f>
        <v>0.1206451612903225</v>
      </c>
    </row>
    <row r="10" spans="2:9" x14ac:dyDescent="0.3">
      <c r="B10" s="210"/>
      <c r="C10" s="60" t="s">
        <v>4</v>
      </c>
      <c r="D10" s="34">
        <v>219.4</v>
      </c>
      <c r="E10" s="34">
        <v>214.3</v>
      </c>
      <c r="F10" s="38">
        <f t="shared" ref="F10:F20" si="0">(E10-D10)/D10</f>
        <v>-2.3245214220601614E-2</v>
      </c>
    </row>
    <row r="11" spans="2:9" x14ac:dyDescent="0.3">
      <c r="B11" s="210"/>
      <c r="C11" s="60" t="s">
        <v>5</v>
      </c>
      <c r="D11" s="34">
        <v>170.8</v>
      </c>
      <c r="E11" s="34">
        <v>173.2</v>
      </c>
      <c r="F11" s="38">
        <f t="shared" si="0"/>
        <v>1.4051522248243426E-2</v>
      </c>
    </row>
    <row r="12" spans="2:9" x14ac:dyDescent="0.3">
      <c r="B12" s="210"/>
      <c r="C12" s="60" t="s">
        <v>6</v>
      </c>
      <c r="D12" s="34">
        <v>165.8</v>
      </c>
      <c r="E12" s="34">
        <v>179.5</v>
      </c>
      <c r="F12" s="38">
        <f t="shared" si="0"/>
        <v>8.2629674306393175E-2</v>
      </c>
    </row>
    <row r="13" spans="2:9" x14ac:dyDescent="0.3">
      <c r="B13" s="210"/>
      <c r="C13" s="60" t="s">
        <v>7</v>
      </c>
      <c r="D13" s="34">
        <v>200.9</v>
      </c>
      <c r="E13" s="34">
        <v>170</v>
      </c>
      <c r="F13" s="38">
        <f t="shared" si="0"/>
        <v>-0.15380786460925835</v>
      </c>
    </row>
    <row r="14" spans="2:9" x14ac:dyDescent="0.3">
      <c r="B14" s="210"/>
      <c r="C14" s="60" t="s">
        <v>8</v>
      </c>
      <c r="D14" s="34">
        <v>169.7</v>
      </c>
      <c r="E14" s="34">
        <v>172.2</v>
      </c>
      <c r="F14" s="38">
        <f t="shared" si="0"/>
        <v>1.4731879787860933E-2</v>
      </c>
    </row>
    <row r="15" spans="2:9" x14ac:dyDescent="0.3">
      <c r="B15" s="210"/>
      <c r="C15" s="60" t="s">
        <v>9</v>
      </c>
      <c r="D15" s="34">
        <v>182.3</v>
      </c>
      <c r="E15" s="34">
        <v>161</v>
      </c>
      <c r="F15" s="38">
        <f t="shared" si="0"/>
        <v>-0.11684037301151953</v>
      </c>
    </row>
    <row r="16" spans="2:9" x14ac:dyDescent="0.3">
      <c r="B16" s="210"/>
      <c r="C16" s="60" t="s">
        <v>10</v>
      </c>
      <c r="D16" s="34">
        <v>164.3</v>
      </c>
      <c r="E16" s="34">
        <v>175.6</v>
      </c>
      <c r="F16" s="38">
        <f t="shared" si="0"/>
        <v>6.8776628119293873E-2</v>
      </c>
    </row>
    <row r="17" spans="2:17" x14ac:dyDescent="0.3">
      <c r="B17" s="210"/>
      <c r="C17" s="60" t="s">
        <v>11</v>
      </c>
      <c r="D17" s="34">
        <v>119.9</v>
      </c>
      <c r="E17" s="34">
        <v>122.7</v>
      </c>
      <c r="F17" s="38">
        <f t="shared" si="0"/>
        <v>2.3352793994995805E-2</v>
      </c>
    </row>
    <row r="18" spans="2:17" x14ac:dyDescent="0.3">
      <c r="B18" s="210"/>
      <c r="C18" s="60" t="s">
        <v>12</v>
      </c>
      <c r="D18" s="34">
        <v>187.1</v>
      </c>
      <c r="E18" s="34">
        <v>218</v>
      </c>
      <c r="F18" s="38">
        <f t="shared" si="0"/>
        <v>0.16515232495991453</v>
      </c>
    </row>
    <row r="19" spans="2:17" x14ac:dyDescent="0.3">
      <c r="B19" s="210"/>
      <c r="C19" s="60" t="s">
        <v>14</v>
      </c>
      <c r="D19" s="34">
        <v>183.9</v>
      </c>
      <c r="E19" s="34">
        <v>194.2</v>
      </c>
      <c r="F19" s="38">
        <f t="shared" si="0"/>
        <v>5.6008700380641561E-2</v>
      </c>
    </row>
    <row r="20" spans="2:17" x14ac:dyDescent="0.3">
      <c r="B20" s="210"/>
      <c r="C20" s="60" t="s">
        <v>15</v>
      </c>
      <c r="D20" s="34">
        <v>174.9</v>
      </c>
      <c r="E20" s="34">
        <v>179.1</v>
      </c>
      <c r="F20" s="38">
        <f t="shared" si="0"/>
        <v>2.4013722126929607E-2</v>
      </c>
    </row>
    <row r="21" spans="2:17" x14ac:dyDescent="0.3">
      <c r="D21" t="s">
        <v>62</v>
      </c>
      <c r="E21" t="s">
        <v>62</v>
      </c>
    </row>
    <row r="23" spans="2:17" x14ac:dyDescent="0.3">
      <c r="C23" s="58" t="s">
        <v>87</v>
      </c>
      <c r="D23" s="59" t="s">
        <v>57</v>
      </c>
    </row>
    <row r="24" spans="2:17" x14ac:dyDescent="0.3">
      <c r="C24" s="61" t="s">
        <v>3</v>
      </c>
      <c r="D24" s="38">
        <v>0.1206451612903225</v>
      </c>
    </row>
    <row r="25" spans="2:17" ht="14.4" customHeight="1" x14ac:dyDescent="0.3">
      <c r="C25" s="61" t="s">
        <v>4</v>
      </c>
      <c r="D25" s="38">
        <v>-2.3245214220601614E-2</v>
      </c>
      <c r="H25" s="2" t="s">
        <v>79</v>
      </c>
      <c r="I25" s="211" t="s">
        <v>97</v>
      </c>
      <c r="J25" s="211"/>
      <c r="K25" s="211"/>
      <c r="L25" s="211"/>
      <c r="M25" s="211"/>
      <c r="N25" s="211"/>
      <c r="O25" s="211"/>
      <c r="P25" s="211"/>
      <c r="Q25" s="63"/>
    </row>
    <row r="26" spans="2:17" x14ac:dyDescent="0.3">
      <c r="C26" s="61" t="s">
        <v>5</v>
      </c>
      <c r="D26" s="38">
        <v>1.4051522248243426E-2</v>
      </c>
      <c r="I26" s="211"/>
      <c r="J26" s="211"/>
      <c r="K26" s="211"/>
      <c r="L26" s="211"/>
      <c r="M26" s="211"/>
      <c r="N26" s="211"/>
      <c r="O26" s="211"/>
      <c r="P26" s="211"/>
      <c r="Q26" s="63"/>
    </row>
    <row r="27" spans="2:17" x14ac:dyDescent="0.3">
      <c r="C27" s="61" t="s">
        <v>6</v>
      </c>
      <c r="D27" s="38">
        <v>8.2629674306393175E-2</v>
      </c>
      <c r="I27" s="62"/>
      <c r="J27" s="62"/>
      <c r="K27" s="62"/>
      <c r="L27" s="62"/>
      <c r="M27" s="62"/>
      <c r="N27" s="62"/>
      <c r="O27" s="62"/>
      <c r="P27" s="62"/>
      <c r="Q27" s="62"/>
    </row>
    <row r="28" spans="2:17" x14ac:dyDescent="0.3">
      <c r="C28" s="61" t="s">
        <v>7</v>
      </c>
      <c r="D28" s="38">
        <v>-0.15380786460925835</v>
      </c>
      <c r="I28" s="62"/>
      <c r="J28" s="62"/>
      <c r="K28" s="62"/>
      <c r="L28" s="62"/>
      <c r="M28" s="62"/>
      <c r="N28" s="62"/>
      <c r="O28" s="62"/>
      <c r="P28" s="62"/>
      <c r="Q28" s="62"/>
    </row>
    <row r="29" spans="2:17" x14ac:dyDescent="0.3">
      <c r="C29" s="61" t="s">
        <v>8</v>
      </c>
      <c r="D29" s="38">
        <v>1.4731879787860933E-2</v>
      </c>
      <c r="F29" s="1"/>
    </row>
    <row r="30" spans="2:17" x14ac:dyDescent="0.3">
      <c r="C30" s="61" t="s">
        <v>9</v>
      </c>
      <c r="D30" s="38">
        <v>-0.11684037301151953</v>
      </c>
    </row>
    <row r="31" spans="2:17" x14ac:dyDescent="0.3">
      <c r="C31" s="61" t="s">
        <v>10</v>
      </c>
      <c r="D31" s="38">
        <v>6.8776628119293873E-2</v>
      </c>
    </row>
    <row r="32" spans="2:17" x14ac:dyDescent="0.3">
      <c r="C32" s="61" t="s">
        <v>11</v>
      </c>
      <c r="D32" s="38">
        <v>2.3352793994995805E-2</v>
      </c>
    </row>
    <row r="33" spans="3:4" x14ac:dyDescent="0.3">
      <c r="C33" s="61" t="s">
        <v>12</v>
      </c>
      <c r="D33" s="38">
        <v>0.16515232495991453</v>
      </c>
    </row>
    <row r="34" spans="3:4" x14ac:dyDescent="0.3">
      <c r="C34" s="61" t="s">
        <v>14</v>
      </c>
      <c r="D34" s="38">
        <v>5.6008700380641561E-2</v>
      </c>
    </row>
    <row r="35" spans="3:4" x14ac:dyDescent="0.3">
      <c r="C35" s="61" t="s">
        <v>15</v>
      </c>
      <c r="D35" s="38">
        <v>2.4013722126929607E-2</v>
      </c>
    </row>
  </sheetData>
  <mergeCells count="2">
    <mergeCell ref="B9:B20"/>
    <mergeCell ref="I25:P26"/>
  </mergeCells>
  <conditionalFormatting sqref="D24:D35">
    <cfRule type="colorScale" priority="1">
      <colorScale>
        <cfvo type="min"/>
        <cfvo type="percentile" val="50"/>
        <cfvo type="max"/>
        <color rgb="FF63BE7B"/>
        <color rgb="FFFFEB84"/>
        <color rgb="FFF8696B"/>
      </colorScale>
    </cfRule>
  </conditionalFormatting>
  <conditionalFormatting sqref="F9:F20">
    <cfRule type="colorScale" priority="2">
      <colorScale>
        <cfvo type="min"/>
        <cfvo type="percentile" val="50"/>
        <cfvo type="max"/>
        <color rgb="FF63BE7B"/>
        <color rgb="FFFFEB84"/>
        <color rgb="FFF8696B"/>
      </colorScale>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23B28-D42B-48CB-8098-B308A0FD1D34}">
  <dimension ref="B1:K70"/>
  <sheetViews>
    <sheetView zoomScale="89" zoomScaleNormal="55" workbookViewId="0">
      <selection activeCell="D12" sqref="D12"/>
    </sheetView>
  </sheetViews>
  <sheetFormatPr defaultRowHeight="14.4" x14ac:dyDescent="0.3"/>
  <cols>
    <col min="2" max="2" width="13" customWidth="1"/>
    <col min="3" max="3" width="10.44140625" customWidth="1"/>
    <col min="4" max="4" width="11.33203125" bestFit="1" customWidth="1"/>
    <col min="5" max="5" width="9.77734375" customWidth="1"/>
    <col min="6" max="6" width="11.33203125" bestFit="1" customWidth="1"/>
    <col min="7" max="7" width="9" bestFit="1" customWidth="1"/>
    <col min="8" max="8" width="22.77734375" bestFit="1" customWidth="1"/>
    <col min="9" max="9" width="31.77734375" bestFit="1" customWidth="1"/>
  </cols>
  <sheetData>
    <row r="1" spans="2:9" ht="14.4" customHeight="1" x14ac:dyDescent="0.3">
      <c r="E1" s="169"/>
      <c r="F1" s="169"/>
      <c r="G1" s="169"/>
      <c r="H1" s="169"/>
    </row>
    <row r="2" spans="2:9" ht="14.4" customHeight="1" x14ac:dyDescent="0.3">
      <c r="E2" s="169"/>
      <c r="F2" s="169"/>
      <c r="G2" s="169"/>
      <c r="H2" s="169"/>
    </row>
    <row r="3" spans="2:9" ht="14.4" customHeight="1" x14ac:dyDescent="0.3">
      <c r="E3" s="169"/>
      <c r="F3" s="169"/>
      <c r="G3" s="169"/>
      <c r="H3" s="169"/>
    </row>
    <row r="4" spans="2:9" ht="14.4" customHeight="1" x14ac:dyDescent="0.3">
      <c r="E4" s="169"/>
      <c r="F4" s="169"/>
      <c r="G4" s="169"/>
      <c r="H4" s="169"/>
    </row>
    <row r="7" spans="2:9" x14ac:dyDescent="0.3">
      <c r="E7" s="212" t="s">
        <v>183</v>
      </c>
      <c r="F7" s="212"/>
      <c r="G7" s="212"/>
      <c r="H7" s="212"/>
    </row>
    <row r="8" spans="2:9" x14ac:dyDescent="0.3">
      <c r="E8" s="212"/>
      <c r="F8" s="212"/>
      <c r="G8" s="212"/>
      <c r="H8" s="212"/>
    </row>
    <row r="10" spans="2:9" x14ac:dyDescent="0.3">
      <c r="C10" s="130"/>
      <c r="D10" s="213" t="s">
        <v>102</v>
      </c>
      <c r="E10" s="214"/>
      <c r="F10" s="214"/>
      <c r="G10" s="214"/>
      <c r="H10" s="214"/>
      <c r="I10" s="214"/>
    </row>
    <row r="11" spans="2:9" ht="14.4" customHeight="1" x14ac:dyDescent="0.3">
      <c r="C11" s="2"/>
      <c r="D11" s="128" t="s">
        <v>98</v>
      </c>
      <c r="E11" s="127" t="s">
        <v>99</v>
      </c>
      <c r="F11" s="127" t="s">
        <v>100</v>
      </c>
      <c r="G11" s="127" t="s">
        <v>101</v>
      </c>
      <c r="H11" s="127" t="s">
        <v>103</v>
      </c>
      <c r="I11" s="127" t="s">
        <v>104</v>
      </c>
    </row>
    <row r="12" spans="2:9" x14ac:dyDescent="0.3">
      <c r="B12" s="215" t="s">
        <v>105</v>
      </c>
      <c r="C12" s="126" t="s">
        <v>23</v>
      </c>
      <c r="D12" s="131">
        <f>SUMIFS(Mar_2018,Broader_Category,$C12,Sector,"Rural")</f>
        <v>136.69999999999999</v>
      </c>
      <c r="E12" s="25">
        <f>SUMIFS(Feb_2019,Broader_Category,$C12,Sector,"Rural")</f>
        <v>149.9</v>
      </c>
      <c r="F12" s="25">
        <f>SUMIFS(March_2019,Broader_Category,$C12,Sector,"Rural")</f>
        <v>150.4</v>
      </c>
      <c r="G12" s="25">
        <f>SUMIFS(Feb_2020,Broader_Category,$C12,Sector,"Rural")</f>
        <v>156.19999999999999</v>
      </c>
      <c r="H12" s="134">
        <f>(E12-D12)/D12</f>
        <v>9.6561814191660697E-2</v>
      </c>
      <c r="I12" s="134">
        <f>(G12-F12)/F12</f>
        <v>3.8563829787233925E-2</v>
      </c>
    </row>
    <row r="13" spans="2:9" x14ac:dyDescent="0.3">
      <c r="B13" s="216"/>
      <c r="C13" s="129" t="s">
        <v>66</v>
      </c>
      <c r="D13" s="25">
        <f>SUMIFS(Mar_2018,Broader_Category,$C13,Sector,"Rural")</f>
        <v>1650.7999999999997</v>
      </c>
      <c r="E13" s="25">
        <f>SUMIFS(Feb_2019,Broader_Category,$C13,Sector,"Rural")</f>
        <v>1622.4</v>
      </c>
      <c r="F13" s="25">
        <f>SUMIFS(March_2019,Broader_Category,$C13,Sector,"Rural")</f>
        <v>1623.8000000000002</v>
      </c>
      <c r="G13" s="25">
        <f>SUMIFS(Feb_2020,Broader_Category,$C13,Sector,"Rural")</f>
        <v>1769.6999999999998</v>
      </c>
      <c r="H13" s="134">
        <f t="shared" ref="H13:H14" si="0">(E13-D13)/D13</f>
        <v>-1.7203779985461378E-2</v>
      </c>
      <c r="I13" s="134">
        <f t="shared" ref="I13:I14" si="1">(G13-F13)/F13</f>
        <v>8.9850966867840637E-2</v>
      </c>
    </row>
    <row r="14" spans="2:9" x14ac:dyDescent="0.3">
      <c r="B14" s="216"/>
      <c r="C14" s="126" t="s">
        <v>68</v>
      </c>
      <c r="D14" s="25">
        <f>SUMIFS(Mar_2018,Broader_Category,$C14,Sector,"Rural")</f>
        <v>396.5</v>
      </c>
      <c r="E14" s="25">
        <f>SUMIFS(Feb_2019,Broader_Category,$C14,Sector,"Rural")</f>
        <v>409.4</v>
      </c>
      <c r="F14" s="25">
        <f>SUMIFS(March_2019,Broader_Category,$C14,Sector,"Rural")</f>
        <v>410.3</v>
      </c>
      <c r="G14" s="25">
        <f>SUMIFS(Feb_2020,Broader_Category,$C14,Sector,"Rural")</f>
        <v>431.70000000000005</v>
      </c>
      <c r="H14" s="134">
        <f t="shared" si="0"/>
        <v>3.2534678436317722E-2</v>
      </c>
      <c r="I14" s="134">
        <f t="shared" si="1"/>
        <v>5.2156958323178244E-2</v>
      </c>
    </row>
    <row r="16" spans="2:9" ht="57.6" x14ac:dyDescent="0.3">
      <c r="D16" s="132" t="s">
        <v>105</v>
      </c>
      <c r="E16" s="133" t="s">
        <v>107</v>
      </c>
      <c r="F16" s="133" t="s">
        <v>106</v>
      </c>
      <c r="H16" s="140"/>
      <c r="I16" s="140"/>
    </row>
    <row r="17" spans="3:11" ht="14.4" customHeight="1" x14ac:dyDescent="0.3">
      <c r="D17" s="126" t="s">
        <v>23</v>
      </c>
      <c r="E17" s="135">
        <v>9.6561814191660697E-2</v>
      </c>
      <c r="F17" s="135">
        <v>3.8563829787233925E-2</v>
      </c>
      <c r="H17" s="165"/>
      <c r="I17" s="165"/>
    </row>
    <row r="18" spans="3:11" x14ac:dyDescent="0.3">
      <c r="D18" s="126" t="s">
        <v>66</v>
      </c>
      <c r="E18" s="135">
        <v>-1.7203779985461378E-2</v>
      </c>
      <c r="F18" s="135">
        <v>8.9850966867840637E-2</v>
      </c>
      <c r="H18" s="165"/>
      <c r="I18" s="165"/>
    </row>
    <row r="19" spans="3:11" x14ac:dyDescent="0.3">
      <c r="D19" s="126" t="s">
        <v>68</v>
      </c>
      <c r="E19" s="135">
        <v>3.2534678436317722E-2</v>
      </c>
      <c r="F19" s="135">
        <v>5.2156958323178244E-2</v>
      </c>
      <c r="H19" s="165"/>
      <c r="I19" s="165"/>
    </row>
    <row r="20" spans="3:11" x14ac:dyDescent="0.3">
      <c r="H20" s="165"/>
      <c r="I20" s="165"/>
    </row>
    <row r="21" spans="3:11" x14ac:dyDescent="0.3">
      <c r="H21" s="165"/>
      <c r="I21" s="165"/>
    </row>
    <row r="22" spans="3:11" x14ac:dyDescent="0.3">
      <c r="E22" s="1"/>
      <c r="F22" s="1"/>
      <c r="G22" s="1"/>
    </row>
    <row r="23" spans="3:11" x14ac:dyDescent="0.3">
      <c r="E23" s="1"/>
      <c r="F23" s="1"/>
      <c r="G23" s="1"/>
      <c r="J23" s="141" t="s">
        <v>79</v>
      </c>
      <c r="K23" s="141"/>
    </row>
    <row r="24" spans="3:11" x14ac:dyDescent="0.3">
      <c r="E24" s="1"/>
      <c r="F24" s="1"/>
      <c r="G24" s="1"/>
    </row>
    <row r="25" spans="3:11" x14ac:dyDescent="0.3">
      <c r="E25" s="1"/>
      <c r="F25" s="1"/>
      <c r="G25" s="1"/>
    </row>
    <row r="26" spans="3:11" x14ac:dyDescent="0.3">
      <c r="E26" s="1"/>
      <c r="F26" s="1"/>
      <c r="G26" s="1"/>
    </row>
    <row r="27" spans="3:11" x14ac:dyDescent="0.3">
      <c r="E27" s="1"/>
      <c r="F27" s="1"/>
      <c r="G27" s="1"/>
    </row>
    <row r="28" spans="3:11" x14ac:dyDescent="0.3">
      <c r="E28" s="1"/>
      <c r="F28" s="1"/>
      <c r="G28" s="1"/>
    </row>
    <row r="29" spans="3:11" x14ac:dyDescent="0.3">
      <c r="E29" s="1"/>
      <c r="F29" s="1"/>
      <c r="G29" s="1"/>
    </row>
    <row r="30" spans="3:11" x14ac:dyDescent="0.3">
      <c r="E30" s="1"/>
      <c r="F30" s="1"/>
      <c r="G30" s="1"/>
    </row>
    <row r="31" spans="3:11" x14ac:dyDescent="0.3">
      <c r="C31" s="130"/>
      <c r="D31" s="213" t="s">
        <v>108</v>
      </c>
      <c r="E31" s="214"/>
      <c r="F31" s="214"/>
      <c r="G31" s="214"/>
      <c r="H31" s="214"/>
      <c r="I31" s="214"/>
    </row>
    <row r="32" spans="3:11" x14ac:dyDescent="0.3">
      <c r="C32" s="2"/>
      <c r="D32" s="128" t="s">
        <v>98</v>
      </c>
      <c r="E32" s="127" t="s">
        <v>99</v>
      </c>
      <c r="F32" s="127" t="s">
        <v>100</v>
      </c>
      <c r="G32" s="127" t="s">
        <v>101</v>
      </c>
      <c r="H32" s="127" t="s">
        <v>103</v>
      </c>
      <c r="I32" s="127" t="s">
        <v>104</v>
      </c>
    </row>
    <row r="33" spans="2:10" x14ac:dyDescent="0.3">
      <c r="B33" s="215" t="s">
        <v>105</v>
      </c>
      <c r="C33" s="126" t="s">
        <v>23</v>
      </c>
      <c r="D33" s="131">
        <f>SUMIFS(Mar_2018,Broader_Category,$C33,Sector,"Rural+Urban")</f>
        <v>134.30000000000001</v>
      </c>
      <c r="E33" s="25">
        <f>SUMIFS(Feb_2019,Broader_Category,$C33,Sector,"Rural+Urban")</f>
        <v>145.6</v>
      </c>
      <c r="F33" s="25">
        <f>SUMIFS(March_2019,Broader_Category,$C33,Sector,"Rural+Urban")</f>
        <v>146.19999999999999</v>
      </c>
      <c r="G33" s="25">
        <f>SUMIFS(Feb_2020,Broader_Category,$C33,Sector,"Rural+Urban")</f>
        <v>151.69999999999999</v>
      </c>
      <c r="H33" s="134">
        <f>(E33-D33)/D33</f>
        <v>8.4139985107967108E-2</v>
      </c>
      <c r="I33" s="134">
        <f>(G33-F33)/F33</f>
        <v>3.761969904240766E-2</v>
      </c>
    </row>
    <row r="34" spans="2:10" x14ac:dyDescent="0.3">
      <c r="B34" s="216"/>
      <c r="C34" s="129" t="s">
        <v>66</v>
      </c>
      <c r="D34" s="25">
        <f>SUMIFS(Mar_2018,Broader_Category,$C34,Sector,"Rural+Urban")</f>
        <v>1626.9</v>
      </c>
      <c r="E34" s="25">
        <f>SUMIFS(Feb_2019,Broader_Category,$C34,Sector,"Rural+Urban")</f>
        <v>1623.5</v>
      </c>
      <c r="F34" s="25">
        <f>SUMIFS(March_2019,Broader_Category,$C34,Sector,"Rural+Urban")</f>
        <v>1629.2</v>
      </c>
      <c r="G34" s="25">
        <f>SUMIFS(Feb_2020,Broader_Category,$C34,Sector,"Rural+Urban")</f>
        <v>1775.1</v>
      </c>
      <c r="H34" s="134">
        <f t="shared" ref="H34:H35" si="2">(E34-D34)/D34</f>
        <v>-2.0898641588297318E-3</v>
      </c>
      <c r="I34" s="134">
        <f t="shared" ref="I34:I35" si="3">(G34-F34)/F34</f>
        <v>8.9553154922661346E-2</v>
      </c>
    </row>
    <row r="35" spans="2:10" x14ac:dyDescent="0.3">
      <c r="B35" s="216"/>
      <c r="C35" s="126" t="s">
        <v>68</v>
      </c>
      <c r="D35" s="25">
        <f>SUMIFS(Mar_2018,Broader_Category,$C35,Sector,"Rural+Urban")</f>
        <v>385.7</v>
      </c>
      <c r="E35" s="25">
        <f>SUMIFS(Feb_2019,Broader_Category,$C35,Sector,"Rural+Urban")</f>
        <v>396.4</v>
      </c>
      <c r="F35" s="25">
        <f>SUMIFS(March_2019,Broader_Category,$C35,Sector,"Rural+Urban")</f>
        <v>397.69999999999993</v>
      </c>
      <c r="G35" s="25">
        <f>SUMIFS(Feb_2020,Broader_Category,$C35,Sector,"Rural+Urban")</f>
        <v>420.9</v>
      </c>
      <c r="H35" s="134">
        <f t="shared" si="2"/>
        <v>2.7741768213637514E-2</v>
      </c>
      <c r="I35" s="134">
        <f t="shared" si="3"/>
        <v>5.833542871511202E-2</v>
      </c>
    </row>
    <row r="38" spans="2:10" ht="57.6" x14ac:dyDescent="0.3">
      <c r="D38" s="132" t="s">
        <v>105</v>
      </c>
      <c r="E38" s="133" t="s">
        <v>107</v>
      </c>
      <c r="F38" s="133" t="s">
        <v>106</v>
      </c>
    </row>
    <row r="39" spans="2:10" x14ac:dyDescent="0.3">
      <c r="D39" s="126" t="s">
        <v>23</v>
      </c>
      <c r="E39" s="136">
        <v>8.4139985107967108E-2</v>
      </c>
      <c r="F39" s="123">
        <v>3.761969904240766E-2</v>
      </c>
    </row>
    <row r="40" spans="2:10" x14ac:dyDescent="0.3">
      <c r="D40" s="126" t="s">
        <v>66</v>
      </c>
      <c r="E40" s="136">
        <v>-2.0898641588297318E-3</v>
      </c>
      <c r="F40" s="123">
        <v>8.9553154922661346E-2</v>
      </c>
    </row>
    <row r="41" spans="2:10" x14ac:dyDescent="0.3">
      <c r="D41" s="126" t="s">
        <v>68</v>
      </c>
      <c r="E41" s="136">
        <v>2.7741768213637514E-2</v>
      </c>
      <c r="F41" s="123">
        <v>5.833542871511202E-2</v>
      </c>
    </row>
    <row r="47" spans="2:10" x14ac:dyDescent="0.3">
      <c r="J47" s="141" t="s">
        <v>79</v>
      </c>
    </row>
    <row r="55" spans="2:9" x14ac:dyDescent="0.3">
      <c r="C55" s="130"/>
      <c r="D55" s="213" t="s">
        <v>109</v>
      </c>
      <c r="E55" s="214"/>
      <c r="F55" s="214"/>
      <c r="G55" s="214"/>
      <c r="H55" s="214"/>
      <c r="I55" s="214"/>
    </row>
    <row r="56" spans="2:9" x14ac:dyDescent="0.3">
      <c r="C56" s="2"/>
      <c r="D56" s="128" t="s">
        <v>98</v>
      </c>
      <c r="E56" s="127" t="s">
        <v>99</v>
      </c>
      <c r="F56" s="127" t="s">
        <v>100</v>
      </c>
      <c r="G56" s="127" t="s">
        <v>101</v>
      </c>
      <c r="H56" s="127" t="s">
        <v>103</v>
      </c>
      <c r="I56" s="127" t="s">
        <v>104</v>
      </c>
    </row>
    <row r="57" spans="2:9" x14ac:dyDescent="0.3">
      <c r="B57" s="215" t="s">
        <v>105</v>
      </c>
      <c r="C57" s="126" t="s">
        <v>23</v>
      </c>
      <c r="D57" s="131">
        <f>SUMIFS(Mar_2018,Broader_Category,$C57,Sector,"Urban")</f>
        <v>130.5</v>
      </c>
      <c r="E57" s="25">
        <f>SUMIFS(Feb_2019,Broader_Category,$C57,Sector,"Urban")</f>
        <v>138.5</v>
      </c>
      <c r="F57" s="25">
        <f>SUMIFS(March_2019,Broader_Category,$C57,Sector,"Urban")</f>
        <v>139.19999999999999</v>
      </c>
      <c r="G57" s="25">
        <f>SUMIFS(Feb_2020,Broader_Category,$C57,Sector,"Urban")</f>
        <v>144.4</v>
      </c>
      <c r="H57" s="134">
        <f>(E57-D57)/D57</f>
        <v>6.1302681992337162E-2</v>
      </c>
      <c r="I57" s="134">
        <f>(G57-F57)/F57</f>
        <v>3.7356321839080588E-2</v>
      </c>
    </row>
    <row r="58" spans="2:9" x14ac:dyDescent="0.3">
      <c r="B58" s="216"/>
      <c r="C58" s="129" t="s">
        <v>66</v>
      </c>
      <c r="D58" s="25">
        <f>SUMIFS(Mar_2018,Broader_Category,$C58,Sector,"Urban")</f>
        <v>1589.3</v>
      </c>
      <c r="E58" s="25">
        <f>SUMIFS(Feb_2019,Broader_Category,$C58,Sector,"Urban")</f>
        <v>1626.1000000000001</v>
      </c>
      <c r="F58" s="25">
        <f>SUMIFS(March_2019,Broader_Category,$C58,Sector,"Urban")</f>
        <v>1639.9</v>
      </c>
      <c r="G58" s="25">
        <f>SUMIFS(Feb_2020,Broader_Category,$C58,Sector,"Urban")</f>
        <v>1785.1</v>
      </c>
      <c r="H58" s="134">
        <f t="shared" ref="H58:H59" si="4">(E58-D58)/D58</f>
        <v>2.3154848046309812E-2</v>
      </c>
      <c r="I58" s="134">
        <f t="shared" ref="I58:I59" si="5">(G58-F58)/F58</f>
        <v>8.8541984267333257E-2</v>
      </c>
    </row>
    <row r="59" spans="2:9" x14ac:dyDescent="0.3">
      <c r="B59" s="216"/>
      <c r="C59" s="126" t="s">
        <v>68</v>
      </c>
      <c r="D59" s="25">
        <f>SUMIFS(Mar_2018,Broader_Category,$C59,Sector,"Urban")</f>
        <v>370.9</v>
      </c>
      <c r="E59" s="25">
        <f>SUMIFS(Feb_2019,Broader_Category,$C59,Sector,"Urban")</f>
        <v>379.3</v>
      </c>
      <c r="F59" s="25">
        <f>SUMIFS(March_2019,Broader_Category,$C59,Sector,"Urban")</f>
        <v>381.20000000000005</v>
      </c>
      <c r="G59" s="25">
        <f>SUMIFS(Feb_2020,Broader_Category,$C59,Sector,"Urban")</f>
        <v>407.6</v>
      </c>
      <c r="H59" s="134">
        <f t="shared" si="4"/>
        <v>2.2647613912105784E-2</v>
      </c>
      <c r="I59" s="134">
        <f t="shared" si="5"/>
        <v>6.9254984260230787E-2</v>
      </c>
    </row>
    <row r="62" spans="2:9" ht="57.6" x14ac:dyDescent="0.3">
      <c r="D62" s="132" t="s">
        <v>105</v>
      </c>
      <c r="E62" s="133" t="s">
        <v>107</v>
      </c>
      <c r="F62" s="133" t="s">
        <v>106</v>
      </c>
    </row>
    <row r="63" spans="2:9" x14ac:dyDescent="0.3">
      <c r="D63" s="126" t="s">
        <v>23</v>
      </c>
      <c r="E63" s="123">
        <v>6.1302681992337162E-2</v>
      </c>
      <c r="F63" s="123">
        <v>3.7356321839080588E-2</v>
      </c>
    </row>
    <row r="64" spans="2:9" x14ac:dyDescent="0.3">
      <c r="D64" s="126" t="s">
        <v>66</v>
      </c>
      <c r="E64" s="123">
        <v>2.3154848046309812E-2</v>
      </c>
      <c r="F64" s="123">
        <v>8.8541984267333257E-2</v>
      </c>
    </row>
    <row r="65" spans="4:10" x14ac:dyDescent="0.3">
      <c r="D65" s="126" t="s">
        <v>68</v>
      </c>
      <c r="E65" s="123">
        <v>2.2647613912105784E-2</v>
      </c>
      <c r="F65" s="123">
        <v>6.9254984260230787E-2</v>
      </c>
    </row>
    <row r="70" spans="4:10" x14ac:dyDescent="0.3">
      <c r="J70" s="141" t="s">
        <v>79</v>
      </c>
    </row>
  </sheetData>
  <mergeCells count="7">
    <mergeCell ref="E7:H8"/>
    <mergeCell ref="D55:I55"/>
    <mergeCell ref="B57:B59"/>
    <mergeCell ref="B12:B14"/>
    <mergeCell ref="D10:I10"/>
    <mergeCell ref="D31:I31"/>
    <mergeCell ref="B33:B35"/>
  </mergeCells>
  <conditionalFormatting sqref="E17:F19">
    <cfRule type="colorScale" priority="7">
      <colorScale>
        <cfvo type="min"/>
        <cfvo type="percentile" val="50"/>
        <cfvo type="max"/>
        <color rgb="FF63BE7B"/>
        <color rgb="FFFFEB84"/>
        <color rgb="FFF8696B"/>
      </colorScale>
    </cfRule>
  </conditionalFormatting>
  <conditionalFormatting sqref="E39:F41">
    <cfRule type="colorScale" priority="4">
      <colorScale>
        <cfvo type="min"/>
        <cfvo type="percentile" val="50"/>
        <cfvo type="max"/>
        <color rgb="FF63BE7B"/>
        <color rgb="FFFFEB84"/>
        <color rgb="FFF8696B"/>
      </colorScale>
    </cfRule>
  </conditionalFormatting>
  <conditionalFormatting sqref="E63:F65">
    <cfRule type="colorScale" priority="1">
      <colorScale>
        <cfvo type="min"/>
        <cfvo type="percentile" val="50"/>
        <cfvo type="max"/>
        <color rgb="FF63BE7B"/>
        <color rgb="FFFFEB84"/>
        <color rgb="FFF8696B"/>
      </colorScale>
    </cfRule>
  </conditionalFormatting>
  <conditionalFormatting sqref="H12:H14">
    <cfRule type="colorScale" priority="9">
      <colorScale>
        <cfvo type="min"/>
        <cfvo type="percentile" val="50"/>
        <cfvo type="max"/>
        <color rgb="FF63BE7B"/>
        <color rgb="FFFFEB84"/>
        <color rgb="FFF8696B"/>
      </colorScale>
    </cfRule>
  </conditionalFormatting>
  <conditionalFormatting sqref="H33:H35">
    <cfRule type="colorScale" priority="6">
      <colorScale>
        <cfvo type="min"/>
        <cfvo type="percentile" val="50"/>
        <cfvo type="max"/>
        <color rgb="FF63BE7B"/>
        <color rgb="FFFFEB84"/>
        <color rgb="FFF8696B"/>
      </colorScale>
    </cfRule>
  </conditionalFormatting>
  <conditionalFormatting sqref="H57:H59">
    <cfRule type="colorScale" priority="3">
      <colorScale>
        <cfvo type="min"/>
        <cfvo type="percentile" val="50"/>
        <cfvo type="max"/>
        <color rgb="FF63BE7B"/>
        <color rgb="FFFFEB84"/>
        <color rgb="FFF8696B"/>
      </colorScale>
    </cfRule>
  </conditionalFormatting>
  <conditionalFormatting sqref="I12:I14">
    <cfRule type="colorScale" priority="8">
      <colorScale>
        <cfvo type="min"/>
        <cfvo type="percentile" val="50"/>
        <cfvo type="max"/>
        <color rgb="FF63BE7B"/>
        <color rgb="FFFFEB84"/>
        <color rgb="FFF8696B"/>
      </colorScale>
    </cfRule>
  </conditionalFormatting>
  <conditionalFormatting sqref="I33:I35">
    <cfRule type="colorScale" priority="5">
      <colorScale>
        <cfvo type="min"/>
        <cfvo type="percentile" val="50"/>
        <cfvo type="max"/>
        <color rgb="FF63BE7B"/>
        <color rgb="FFFFEB84"/>
        <color rgb="FFF8696B"/>
      </colorScale>
    </cfRule>
  </conditionalFormatting>
  <conditionalFormatting sqref="I57:I59">
    <cfRule type="colorScale" priority="2">
      <colorScale>
        <cfvo type="min"/>
        <cfvo type="percentile" val="50"/>
        <cfvo type="max"/>
        <color rgb="FF63BE7B"/>
        <color rgb="FFFFEB84"/>
        <color rgb="FFF8696B"/>
      </colorScale>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4C267-8D1C-481F-BCC4-CFA792CCF19D}">
  <dimension ref="B1:J63"/>
  <sheetViews>
    <sheetView zoomScale="92" workbookViewId="0">
      <selection activeCell="I50" sqref="I50"/>
    </sheetView>
  </sheetViews>
  <sheetFormatPr defaultRowHeight="14.4" x14ac:dyDescent="0.3"/>
  <cols>
    <col min="2" max="2" width="13.88671875" customWidth="1"/>
    <col min="3" max="3" width="8.21875" bestFit="1" customWidth="1"/>
    <col min="4" max="4" width="11.77734375" bestFit="1" customWidth="1"/>
    <col min="5" max="5" width="12.21875" customWidth="1"/>
    <col min="6" max="6" width="11.77734375" bestFit="1" customWidth="1"/>
    <col min="7" max="7" width="11.33203125" customWidth="1"/>
    <col min="8" max="9" width="22.109375" bestFit="1" customWidth="1"/>
  </cols>
  <sheetData>
    <row r="1" spans="2:9" x14ac:dyDescent="0.3">
      <c r="D1" s="212" t="s">
        <v>182</v>
      </c>
      <c r="E1" s="212"/>
      <c r="F1" s="212"/>
      <c r="G1" s="212"/>
      <c r="H1" s="212"/>
    </row>
    <row r="2" spans="2:9" x14ac:dyDescent="0.3">
      <c r="D2" s="212"/>
      <c r="E2" s="212"/>
      <c r="F2" s="212"/>
      <c r="G2" s="212"/>
      <c r="H2" s="212"/>
    </row>
    <row r="4" spans="2:9" x14ac:dyDescent="0.3">
      <c r="C4" s="130"/>
      <c r="D4" s="213" t="s">
        <v>110</v>
      </c>
      <c r="E4" s="214"/>
      <c r="F4" s="214"/>
      <c r="G4" s="214"/>
      <c r="H4" s="214"/>
      <c r="I4" s="214"/>
    </row>
    <row r="5" spans="2:9" x14ac:dyDescent="0.3">
      <c r="C5" s="2"/>
      <c r="D5" s="128" t="s">
        <v>111</v>
      </c>
      <c r="E5" s="127" t="s">
        <v>112</v>
      </c>
      <c r="F5" s="127" t="s">
        <v>113</v>
      </c>
      <c r="G5" s="127" t="s">
        <v>114</v>
      </c>
      <c r="H5" s="127" t="s">
        <v>119</v>
      </c>
      <c r="I5" s="127" t="s">
        <v>120</v>
      </c>
    </row>
    <row r="6" spans="2:9" x14ac:dyDescent="0.3">
      <c r="B6" s="215" t="s">
        <v>105</v>
      </c>
      <c r="C6" s="126" t="s">
        <v>23</v>
      </c>
      <c r="D6" s="131">
        <f>SUMIFS(March_2020,Broader_Category,$C6,Sector,"Rural")</f>
        <v>156.69999999999999</v>
      </c>
      <c r="E6" s="131">
        <f>SUMIFS(Feb_2021,Broader_Category,$C6,Sector,"Rural")</f>
        <v>164.3</v>
      </c>
      <c r="F6" s="25">
        <f>SUMIFS(March_2021,Broader_Category,$C6,Sector,"Rural")</f>
        <v>164.6</v>
      </c>
      <c r="G6" s="131">
        <f>SUMIFS(Feb_2022,Broader_Category,$C6,Sector,"Rural")</f>
        <v>175.3</v>
      </c>
      <c r="H6" s="134">
        <f>(E6-D6)/D6</f>
        <v>4.8500319081046732E-2</v>
      </c>
      <c r="I6" s="134">
        <f>(G6-F6)/F6</f>
        <v>6.5006075334143487E-2</v>
      </c>
    </row>
    <row r="7" spans="2:9" x14ac:dyDescent="0.3">
      <c r="B7" s="216"/>
      <c r="C7" s="129" t="s">
        <v>66</v>
      </c>
      <c r="D7" s="131">
        <f>SUMIFS(March_2020,Broader_Category,$C7,Sector,"Rural")</f>
        <v>1754.4999999999998</v>
      </c>
      <c r="E7" s="25">
        <f>SUMIFS(Feb_2021,Broader_Category,$C7,Sector,"Rural")</f>
        <v>1865.3</v>
      </c>
      <c r="F7" s="25">
        <f>SUMIFS(March_2021,Broader_Category,$C7,Sector,"Rural")</f>
        <v>1865.1000000000001</v>
      </c>
      <c r="G7" s="25">
        <f>SUMIFS(Feb_2022,Broader_Category,$C7,Sector,"Rural")</f>
        <v>1979.9</v>
      </c>
      <c r="H7" s="134">
        <f t="shared" ref="H7:H8" si="0">(E7-D7)/D7</f>
        <v>6.3151895126816862E-2</v>
      </c>
      <c r="I7" s="134">
        <f t="shared" ref="I7:I8" si="1">(G7-F7)/F7</f>
        <v>6.1551659428448847E-2</v>
      </c>
    </row>
    <row r="8" spans="2:9" x14ac:dyDescent="0.3">
      <c r="B8" s="216"/>
      <c r="C8" s="126" t="s">
        <v>68</v>
      </c>
      <c r="D8" s="131">
        <f>SUMIFS(March_2020,Broader_Category,$C8,Sector,"Rural")</f>
        <v>434.30000000000007</v>
      </c>
      <c r="E8" s="25">
        <f>SUMIFS(Feb_2021,Broader_Category,$C8,Sector,"Rural")</f>
        <v>459.8</v>
      </c>
      <c r="F8" s="25">
        <f>SUMIFS(March_2021,Broader_Category,$C8,Sector,"Rural")</f>
        <v>460.4</v>
      </c>
      <c r="G8" s="25">
        <f>SUMIFS(Feb_2022,Broader_Category,$C8,Sector,"Rural")</f>
        <v>493.1</v>
      </c>
      <c r="H8" s="134">
        <f t="shared" si="0"/>
        <v>5.8715173842965554E-2</v>
      </c>
      <c r="I8" s="134">
        <f t="shared" si="1"/>
        <v>7.1025195482189496E-2</v>
      </c>
    </row>
    <row r="9" spans="2:9" x14ac:dyDescent="0.3">
      <c r="H9" s="139"/>
      <c r="I9" s="139"/>
    </row>
    <row r="10" spans="2:9" ht="43.2" x14ac:dyDescent="0.3">
      <c r="D10" s="137" t="s">
        <v>105</v>
      </c>
      <c r="E10" s="138" t="s">
        <v>115</v>
      </c>
      <c r="F10" s="138" t="s">
        <v>116</v>
      </c>
    </row>
    <row r="11" spans="2:9" x14ac:dyDescent="0.3">
      <c r="D11" s="126" t="s">
        <v>23</v>
      </c>
      <c r="E11" s="134">
        <v>4.8500319081046732E-2</v>
      </c>
      <c r="F11" s="134">
        <v>6.5006075334143487E-2</v>
      </c>
    </row>
    <row r="12" spans="2:9" x14ac:dyDescent="0.3">
      <c r="D12" s="126" t="s">
        <v>66</v>
      </c>
      <c r="E12" s="134">
        <v>6.3151895126816862E-2</v>
      </c>
      <c r="F12" s="134">
        <v>6.1551659428448847E-2</v>
      </c>
    </row>
    <row r="13" spans="2:9" x14ac:dyDescent="0.3">
      <c r="D13" s="126" t="s">
        <v>68</v>
      </c>
      <c r="E13" s="134">
        <v>5.8715173842965554E-2</v>
      </c>
      <c r="F13" s="134">
        <v>7.1025195482189496E-2</v>
      </c>
    </row>
    <row r="17" spans="2:10" x14ac:dyDescent="0.3">
      <c r="J17" s="2" t="s">
        <v>79</v>
      </c>
    </row>
    <row r="24" spans="2:10" x14ac:dyDescent="0.3">
      <c r="C24" s="130"/>
      <c r="D24" s="213" t="s">
        <v>117</v>
      </c>
      <c r="E24" s="214"/>
      <c r="F24" s="214"/>
      <c r="G24" s="214"/>
      <c r="H24" s="214"/>
      <c r="I24" s="214"/>
    </row>
    <row r="25" spans="2:10" x14ac:dyDescent="0.3">
      <c r="C25" s="2"/>
      <c r="D25" s="128" t="s">
        <v>111</v>
      </c>
      <c r="E25" s="127" t="s">
        <v>112</v>
      </c>
      <c r="F25" s="127" t="s">
        <v>113</v>
      </c>
      <c r="G25" s="127" t="s">
        <v>114</v>
      </c>
      <c r="H25" s="127" t="s">
        <v>119</v>
      </c>
      <c r="I25" s="127" t="s">
        <v>120</v>
      </c>
    </row>
    <row r="26" spans="2:10" x14ac:dyDescent="0.3">
      <c r="B26" s="215" t="s">
        <v>105</v>
      </c>
      <c r="C26" s="126" t="s">
        <v>23</v>
      </c>
      <c r="D26" s="131">
        <f>SUMIFS(March_2020,Broader_Category,$C26,Sector,"Rural+Urban")</f>
        <v>152.30000000000001</v>
      </c>
      <c r="E26" s="25">
        <f>SUMIFS(Feb_2021,Broader_Category,$C26,Sector,"Rural+Urban")</f>
        <v>161.30000000000001</v>
      </c>
      <c r="F26" s="25">
        <f>SUMIFS(March_2021,Broader_Category,$C26,Sector,"Rural+Urban")</f>
        <v>161.69999999999999</v>
      </c>
      <c r="G26" s="25">
        <f>SUMIFS(Feb_2022,Broader_Category,$C26,Sector,"Rural+Urban")</f>
        <v>172.2</v>
      </c>
      <c r="H26" s="134">
        <f>(E26-D26)/D26</f>
        <v>5.9093893630991462E-2</v>
      </c>
      <c r="I26" s="134">
        <f>(G26-F26)/F26</f>
        <v>6.4935064935064943E-2</v>
      </c>
    </row>
    <row r="27" spans="2:10" x14ac:dyDescent="0.3">
      <c r="B27" s="216"/>
      <c r="C27" s="129" t="s">
        <v>66</v>
      </c>
      <c r="D27" s="25">
        <f>SUMIFS(March_2020,Broader_Category,$C27,Sector,"Rural+Urban")</f>
        <v>1758.7</v>
      </c>
      <c r="E27" s="25">
        <f>SUMIFS(Feb_2021,Broader_Category,$C27,Sector,"Rural+Urban")</f>
        <v>1883.8000000000002</v>
      </c>
      <c r="F27" s="25">
        <f>SUMIFS(March_2021,Broader_Category,$C27,Sector,"Rural+Urban")</f>
        <v>1882.8999999999999</v>
      </c>
      <c r="G27" s="25">
        <f>SUMIFS(Feb_2022,Broader_Category,$C27,Sector,"Rural+Urban")</f>
        <v>1996.5000000000002</v>
      </c>
      <c r="H27" s="134">
        <f t="shared" ref="H27:H28" si="2">(E27-D27)/D27</f>
        <v>7.1132086200034195E-2</v>
      </c>
      <c r="I27" s="134">
        <f t="shared" ref="I27:I28" si="3">(G27-F27)/F27</f>
        <v>6.0332465877104662E-2</v>
      </c>
    </row>
    <row r="28" spans="2:10" x14ac:dyDescent="0.3">
      <c r="B28" s="216"/>
      <c r="C28" s="126" t="s">
        <v>68</v>
      </c>
      <c r="D28" s="25">
        <f>SUMIFS(March_2020,Broader_Category,$C28,Sector,"Rural+Urban")</f>
        <v>424</v>
      </c>
      <c r="E28" s="25">
        <f>SUMIFS(Feb_2021,Broader_Category,$C28,Sector,"Rural+Urban")</f>
        <v>453.3</v>
      </c>
      <c r="F28" s="25">
        <f>SUMIFS(March_2021,Broader_Category,$C28,Sector,"Rural+Urban")</f>
        <v>455.5</v>
      </c>
      <c r="G28" s="25">
        <f>SUMIFS(Feb_2022,Broader_Category,$C28,Sector,"Rural+Urban")</f>
        <v>487</v>
      </c>
      <c r="H28" s="134">
        <f t="shared" si="2"/>
        <v>6.9103773584905687E-2</v>
      </c>
      <c r="I28" s="134">
        <f t="shared" si="3"/>
        <v>6.9154774972557634E-2</v>
      </c>
    </row>
    <row r="31" spans="2:10" ht="43.2" x14ac:dyDescent="0.3">
      <c r="D31" s="137" t="s">
        <v>105</v>
      </c>
      <c r="E31" s="138" t="s">
        <v>115</v>
      </c>
      <c r="F31" s="138" t="s">
        <v>116</v>
      </c>
    </row>
    <row r="32" spans="2:10" x14ac:dyDescent="0.3">
      <c r="D32" s="126" t="s">
        <v>23</v>
      </c>
      <c r="E32" s="135">
        <v>5.9093893630991462E-2</v>
      </c>
      <c r="F32" s="135">
        <v>6.4935064935064943E-2</v>
      </c>
    </row>
    <row r="33" spans="3:10" x14ac:dyDescent="0.3">
      <c r="D33" s="126" t="s">
        <v>66</v>
      </c>
      <c r="E33" s="135">
        <v>7.1132086200034195E-2</v>
      </c>
      <c r="F33" s="135">
        <v>6.0332465877104662E-2</v>
      </c>
    </row>
    <row r="34" spans="3:10" x14ac:dyDescent="0.3">
      <c r="D34" s="126" t="s">
        <v>68</v>
      </c>
      <c r="E34" s="135">
        <v>6.9103773584905687E-2</v>
      </c>
      <c r="F34" s="135">
        <v>6.9154774972557634E-2</v>
      </c>
    </row>
    <row r="38" spans="3:10" x14ac:dyDescent="0.3">
      <c r="J38" s="2" t="s">
        <v>79</v>
      </c>
    </row>
    <row r="48" spans="3:10" x14ac:dyDescent="0.3">
      <c r="C48" s="130"/>
      <c r="D48" s="213" t="s">
        <v>118</v>
      </c>
      <c r="E48" s="214"/>
      <c r="F48" s="214"/>
      <c r="G48" s="214"/>
      <c r="H48" s="214"/>
      <c r="I48" s="214"/>
    </row>
    <row r="49" spans="2:10" x14ac:dyDescent="0.3">
      <c r="C49" s="2"/>
      <c r="D49" s="128" t="s">
        <v>111</v>
      </c>
      <c r="E49" s="127" t="s">
        <v>112</v>
      </c>
      <c r="F49" s="127" t="s">
        <v>113</v>
      </c>
      <c r="G49" s="127" t="s">
        <v>114</v>
      </c>
      <c r="H49" s="127" t="s">
        <v>119</v>
      </c>
      <c r="I49" s="127" t="s">
        <v>120</v>
      </c>
    </row>
    <row r="50" spans="2:10" x14ac:dyDescent="0.3">
      <c r="B50" s="215" t="s">
        <v>105</v>
      </c>
      <c r="C50" s="126" t="s">
        <v>23</v>
      </c>
      <c r="D50" s="131">
        <f>SUMIFS(March_2020,Broader_Category,$C50,Sector,"Urban")</f>
        <v>145</v>
      </c>
      <c r="E50" s="25">
        <f>SUMIFS(Feb_2021,Broader_Category,$C50,Sector,"Urban")</f>
        <v>156.30000000000001</v>
      </c>
      <c r="F50" s="25">
        <f>SUMIFS(March_2021,Broader_Category,$C50,Sector,"Urban")</f>
        <v>156.9</v>
      </c>
      <c r="G50" s="25">
        <f>SUMIFS(Feb_2022,Broader_Category,$C50,Sector,"Urban")</f>
        <v>167.2</v>
      </c>
      <c r="H50" s="134">
        <f>(E50-D50)/D50</f>
        <v>7.7931034482758704E-2</v>
      </c>
      <c r="I50" s="134">
        <f>(G50-F50)/F50</f>
        <v>6.5646908859145842E-2</v>
      </c>
    </row>
    <row r="51" spans="2:10" x14ac:dyDescent="0.3">
      <c r="B51" s="216"/>
      <c r="C51" s="129" t="s">
        <v>66</v>
      </c>
      <c r="D51" s="25">
        <f>SUMIFS(March_2020,Broader_Category,$C51,Sector,"Urban")</f>
        <v>1766.6</v>
      </c>
      <c r="E51" s="25">
        <f>SUMIFS(Feb_2021,Broader_Category,$C51,Sector,"Urban")</f>
        <v>1916.8</v>
      </c>
      <c r="F51" s="25">
        <f>SUMIFS(March_2021,Broader_Category,$C51,Sector,"Urban")</f>
        <v>1913.7999999999997</v>
      </c>
      <c r="G51" s="25">
        <f>SUMIFS(Feb_2022,Broader_Category,$C51,Sector,"Urban")</f>
        <v>2026.8</v>
      </c>
      <c r="H51" s="134">
        <f t="shared" ref="H51:H52" si="4">(E51-D51)/D51</f>
        <v>8.5022076304766242E-2</v>
      </c>
      <c r="I51" s="134">
        <f t="shared" ref="I51:I52" si="5">(G51-F51)/F51</f>
        <v>5.9044832270874828E-2</v>
      </c>
    </row>
    <row r="52" spans="2:10" x14ac:dyDescent="0.3">
      <c r="B52" s="216"/>
      <c r="C52" s="126" t="s">
        <v>68</v>
      </c>
      <c r="D52" s="25">
        <f>SUMIFS(March_2020,Broader_Category,$C52,Sector,"Urban")</f>
        <v>411.3</v>
      </c>
      <c r="E52" s="25">
        <f>SUMIFS(Feb_2021,Broader_Category,$C52,Sector,"Urban")</f>
        <v>446.3</v>
      </c>
      <c r="F52" s="25">
        <f>SUMIFS(March_2021,Broader_Category,$C52,Sector,"Urban")</f>
        <v>451.4</v>
      </c>
      <c r="G52" s="25">
        <f>SUMIFS(Feb_2022,Broader_Category,$C52,Sector,"Urban")</f>
        <v>480.3</v>
      </c>
      <c r="H52" s="134">
        <f t="shared" si="4"/>
        <v>8.5096036955993187E-2</v>
      </c>
      <c r="I52" s="134">
        <f t="shared" si="5"/>
        <v>6.4023039432875573E-2</v>
      </c>
    </row>
    <row r="55" spans="2:10" ht="43.2" x14ac:dyDescent="0.3">
      <c r="D55" s="137" t="s">
        <v>105</v>
      </c>
      <c r="E55" s="138" t="s">
        <v>115</v>
      </c>
      <c r="F55" s="138" t="s">
        <v>116</v>
      </c>
    </row>
    <row r="56" spans="2:10" x14ac:dyDescent="0.3">
      <c r="D56" s="126" t="s">
        <v>23</v>
      </c>
      <c r="E56" s="135">
        <v>7.7931034482758704E-2</v>
      </c>
      <c r="F56" s="135">
        <v>6.5646908859145842E-2</v>
      </c>
    </row>
    <row r="57" spans="2:10" x14ac:dyDescent="0.3">
      <c r="D57" s="126" t="s">
        <v>66</v>
      </c>
      <c r="E57" s="135">
        <v>8.5022076304766242E-2</v>
      </c>
      <c r="F57" s="135">
        <v>5.9044832270874828E-2</v>
      </c>
    </row>
    <row r="58" spans="2:10" x14ac:dyDescent="0.3">
      <c r="D58" s="126" t="s">
        <v>68</v>
      </c>
      <c r="E58" s="135">
        <v>8.5096036955993187E-2</v>
      </c>
      <c r="F58" s="135">
        <v>6.4023039432875573E-2</v>
      </c>
    </row>
    <row r="63" spans="2:10" x14ac:dyDescent="0.3">
      <c r="J63" s="2" t="s">
        <v>79</v>
      </c>
    </row>
  </sheetData>
  <mergeCells count="7">
    <mergeCell ref="D48:I48"/>
    <mergeCell ref="B50:B52"/>
    <mergeCell ref="D1:H2"/>
    <mergeCell ref="D4:I4"/>
    <mergeCell ref="B6:B8"/>
    <mergeCell ref="D24:I24"/>
    <mergeCell ref="B26:B28"/>
  </mergeCells>
  <conditionalFormatting sqref="E11:E13">
    <cfRule type="colorScale" priority="2">
      <colorScale>
        <cfvo type="min"/>
        <cfvo type="percentile" val="50"/>
        <cfvo type="max"/>
        <color rgb="FF63BE7B"/>
        <color rgb="FFFFEB84"/>
        <color rgb="FFF8696B"/>
      </colorScale>
    </cfRule>
  </conditionalFormatting>
  <conditionalFormatting sqref="E32:F34">
    <cfRule type="colorScale" priority="4">
      <colorScale>
        <cfvo type="min"/>
        <cfvo type="percentile" val="50"/>
        <cfvo type="max"/>
        <color rgb="FF63BE7B"/>
        <color rgb="FFFFEB84"/>
        <color rgb="FFF8696B"/>
      </colorScale>
    </cfRule>
  </conditionalFormatting>
  <conditionalFormatting sqref="E56:F58">
    <cfRule type="colorScale" priority="3">
      <colorScale>
        <cfvo type="min"/>
        <cfvo type="percentile" val="50"/>
        <cfvo type="max"/>
        <color rgb="FF63BE7B"/>
        <color rgb="FFFFEB84"/>
        <color rgb="FFF8696B"/>
      </colorScale>
    </cfRule>
  </conditionalFormatting>
  <conditionalFormatting sqref="F11:F13">
    <cfRule type="colorScale" priority="1">
      <colorScale>
        <cfvo type="min"/>
        <cfvo type="percentile" val="50"/>
        <cfvo type="max"/>
        <color rgb="FF63BE7B"/>
        <color rgb="FFFFEB84"/>
        <color rgb="FFF8696B"/>
      </colorScale>
    </cfRule>
  </conditionalFormatting>
  <conditionalFormatting sqref="H6:H8">
    <cfRule type="colorScale" priority="11">
      <colorScale>
        <cfvo type="min"/>
        <cfvo type="percentile" val="50"/>
        <cfvo type="max"/>
        <color rgb="FF63BE7B"/>
        <color rgb="FFFFEB84"/>
        <color rgb="FFF8696B"/>
      </colorScale>
    </cfRule>
  </conditionalFormatting>
  <conditionalFormatting sqref="H26:H28">
    <cfRule type="colorScale" priority="9">
      <colorScale>
        <cfvo type="min"/>
        <cfvo type="percentile" val="50"/>
        <cfvo type="max"/>
        <color rgb="FF63BE7B"/>
        <color rgb="FFFFEB84"/>
        <color rgb="FFF8696B"/>
      </colorScale>
    </cfRule>
  </conditionalFormatting>
  <conditionalFormatting sqref="H50:H52">
    <cfRule type="colorScale" priority="7">
      <colorScale>
        <cfvo type="min"/>
        <cfvo type="percentile" val="50"/>
        <cfvo type="max"/>
        <color rgb="FF63BE7B"/>
        <color rgb="FFFFEB84"/>
        <color rgb="FFF8696B"/>
      </colorScale>
    </cfRule>
  </conditionalFormatting>
  <conditionalFormatting sqref="I6:I8">
    <cfRule type="colorScale" priority="10">
      <colorScale>
        <cfvo type="min"/>
        <cfvo type="percentile" val="50"/>
        <cfvo type="max"/>
        <color rgb="FF63BE7B"/>
        <color rgb="FFFFEB84"/>
        <color rgb="FFF8696B"/>
      </colorScale>
    </cfRule>
  </conditionalFormatting>
  <conditionalFormatting sqref="I26:I28">
    <cfRule type="colorScale" priority="8">
      <colorScale>
        <cfvo type="min"/>
        <cfvo type="percentile" val="50"/>
        <cfvo type="max"/>
        <color rgb="FF63BE7B"/>
        <color rgb="FFFFEB84"/>
        <color rgb="FFF8696B"/>
      </colorScale>
    </cfRule>
  </conditionalFormatting>
  <conditionalFormatting sqref="I50:I52">
    <cfRule type="colorScale" priority="6">
      <colorScale>
        <cfvo type="min"/>
        <cfvo type="percentile" val="50"/>
        <cfvo type="max"/>
        <color rgb="FF63BE7B"/>
        <color rgb="FFFFEB84"/>
        <color rgb="FFF8696B"/>
      </colorScale>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CA7-AC33-44C3-ADEF-ADD658ADE720}">
  <dimension ref="B2:P68"/>
  <sheetViews>
    <sheetView zoomScale="105" zoomScaleNormal="80" workbookViewId="0">
      <selection activeCell="V37" sqref="V37"/>
    </sheetView>
  </sheetViews>
  <sheetFormatPr defaultRowHeight="14.4" x14ac:dyDescent="0.3"/>
  <sheetData>
    <row r="2" spans="3:16" x14ac:dyDescent="0.3">
      <c r="C2" s="212" t="s">
        <v>181</v>
      </c>
      <c r="D2" s="212"/>
      <c r="E2" s="212"/>
      <c r="F2" s="212"/>
      <c r="G2" s="212"/>
      <c r="H2" s="212"/>
      <c r="I2" s="212"/>
      <c r="J2" s="212"/>
      <c r="K2" s="212"/>
      <c r="L2" s="212"/>
      <c r="M2" s="212"/>
      <c r="N2" s="212"/>
      <c r="O2" s="212"/>
      <c r="P2" s="212"/>
    </row>
    <row r="3" spans="3:16" x14ac:dyDescent="0.3">
      <c r="C3" s="212"/>
      <c r="D3" s="212"/>
      <c r="E3" s="212"/>
      <c r="F3" s="212"/>
      <c r="G3" s="212"/>
      <c r="H3" s="212"/>
      <c r="I3" s="212"/>
      <c r="J3" s="212"/>
      <c r="K3" s="212"/>
      <c r="L3" s="212"/>
      <c r="M3" s="212"/>
      <c r="N3" s="212"/>
      <c r="O3" s="212"/>
      <c r="P3" s="212"/>
    </row>
    <row r="20" spans="2:16" ht="15" thickBot="1" x14ac:dyDescent="0.35"/>
    <row r="21" spans="2:16" x14ac:dyDescent="0.3">
      <c r="C21" s="217" t="s">
        <v>121</v>
      </c>
      <c r="D21" s="218"/>
      <c r="E21" s="218"/>
      <c r="F21" s="218"/>
      <c r="G21" s="218"/>
      <c r="H21" s="218"/>
      <c r="I21" s="218"/>
      <c r="J21" s="218"/>
      <c r="K21" s="218"/>
      <c r="L21" s="218"/>
      <c r="M21" s="218"/>
      <c r="N21" s="218"/>
      <c r="O21" s="218"/>
      <c r="P21" s="219"/>
    </row>
    <row r="22" spans="2:16" x14ac:dyDescent="0.3">
      <c r="B22" s="2" t="s">
        <v>79</v>
      </c>
      <c r="C22" s="220"/>
      <c r="D22" s="221"/>
      <c r="E22" s="221"/>
      <c r="F22" s="221"/>
      <c r="G22" s="221"/>
      <c r="H22" s="221"/>
      <c r="I22" s="221"/>
      <c r="J22" s="221"/>
      <c r="K22" s="221"/>
      <c r="L22" s="221"/>
      <c r="M22" s="221"/>
      <c r="N22" s="221"/>
      <c r="O22" s="221"/>
      <c r="P22" s="222"/>
    </row>
    <row r="23" spans="2:16" ht="15" thickBot="1" x14ac:dyDescent="0.35">
      <c r="C23" s="223"/>
      <c r="D23" s="224"/>
      <c r="E23" s="224"/>
      <c r="F23" s="224"/>
      <c r="G23" s="224"/>
      <c r="H23" s="224"/>
      <c r="I23" s="224"/>
      <c r="J23" s="224"/>
      <c r="K23" s="224"/>
      <c r="L23" s="224"/>
      <c r="M23" s="224"/>
      <c r="N23" s="224"/>
      <c r="O23" s="224"/>
      <c r="P23" s="225"/>
    </row>
    <row r="42" spans="2:16" ht="15" thickBot="1" x14ac:dyDescent="0.35"/>
    <row r="43" spans="2:16" x14ac:dyDescent="0.3">
      <c r="C43" s="217" t="s">
        <v>122</v>
      </c>
      <c r="D43" s="226"/>
      <c r="E43" s="226"/>
      <c r="F43" s="226"/>
      <c r="G43" s="226"/>
      <c r="H43" s="226"/>
      <c r="I43" s="226"/>
      <c r="J43" s="226"/>
      <c r="K43" s="226"/>
      <c r="L43" s="226"/>
      <c r="M43" s="226"/>
      <c r="N43" s="226"/>
      <c r="O43" s="226"/>
      <c r="P43" s="227"/>
    </row>
    <row r="44" spans="2:16" x14ac:dyDescent="0.3">
      <c r="B44" s="2" t="s">
        <v>79</v>
      </c>
      <c r="C44" s="228"/>
      <c r="D44" s="229"/>
      <c r="E44" s="229"/>
      <c r="F44" s="229"/>
      <c r="G44" s="229"/>
      <c r="H44" s="229"/>
      <c r="I44" s="229"/>
      <c r="J44" s="229"/>
      <c r="K44" s="229"/>
      <c r="L44" s="229"/>
      <c r="M44" s="229"/>
      <c r="N44" s="229"/>
      <c r="O44" s="229"/>
      <c r="P44" s="230"/>
    </row>
    <row r="45" spans="2:16" ht="15" thickBot="1" x14ac:dyDescent="0.35">
      <c r="C45" s="231"/>
      <c r="D45" s="232"/>
      <c r="E45" s="232"/>
      <c r="F45" s="232"/>
      <c r="G45" s="232"/>
      <c r="H45" s="232"/>
      <c r="I45" s="232"/>
      <c r="J45" s="232"/>
      <c r="K45" s="232"/>
      <c r="L45" s="232"/>
      <c r="M45" s="232"/>
      <c r="N45" s="232"/>
      <c r="O45" s="232"/>
      <c r="P45" s="233"/>
    </row>
    <row r="65" spans="2:16" ht="15" thickBot="1" x14ac:dyDescent="0.35"/>
    <row r="66" spans="2:16" x14ac:dyDescent="0.3">
      <c r="C66" s="234" t="s">
        <v>179</v>
      </c>
      <c r="D66" s="235"/>
      <c r="E66" s="235"/>
      <c r="F66" s="235"/>
      <c r="G66" s="235"/>
      <c r="H66" s="235"/>
      <c r="I66" s="235"/>
      <c r="J66" s="235"/>
      <c r="K66" s="235"/>
      <c r="L66" s="235"/>
      <c r="M66" s="235"/>
      <c r="N66" s="235"/>
      <c r="O66" s="235"/>
      <c r="P66" s="236"/>
    </row>
    <row r="67" spans="2:16" x14ac:dyDescent="0.3">
      <c r="B67" s="2" t="s">
        <v>79</v>
      </c>
      <c r="C67" s="237"/>
      <c r="D67" s="238"/>
      <c r="E67" s="238"/>
      <c r="F67" s="238"/>
      <c r="G67" s="238"/>
      <c r="H67" s="238"/>
      <c r="I67" s="238"/>
      <c r="J67" s="238"/>
      <c r="K67" s="238"/>
      <c r="L67" s="238"/>
      <c r="M67" s="238"/>
      <c r="N67" s="238"/>
      <c r="O67" s="238"/>
      <c r="P67" s="239"/>
    </row>
    <row r="68" spans="2:16" ht="15" thickBot="1" x14ac:dyDescent="0.35">
      <c r="C68" s="240"/>
      <c r="D68" s="241"/>
      <c r="E68" s="241"/>
      <c r="F68" s="241"/>
      <c r="G68" s="241"/>
      <c r="H68" s="241"/>
      <c r="I68" s="241"/>
      <c r="J68" s="241"/>
      <c r="K68" s="241"/>
      <c r="L68" s="241"/>
      <c r="M68" s="241"/>
      <c r="N68" s="241"/>
      <c r="O68" s="241"/>
      <c r="P68" s="242"/>
    </row>
  </sheetData>
  <mergeCells count="4">
    <mergeCell ref="C21:P23"/>
    <mergeCell ref="C43:P45"/>
    <mergeCell ref="C66:P68"/>
    <mergeCell ref="C2:P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1B652-D59C-42F1-8C39-FD69724F79B8}">
  <dimension ref="A1:O43"/>
  <sheetViews>
    <sheetView topLeftCell="A2" workbookViewId="0">
      <pane ySplit="14" topLeftCell="A16" activePane="bottomLeft" state="frozen"/>
      <selection activeCell="A2" sqref="A2"/>
      <selection pane="bottomLeft" activeCell="Q5" sqref="Q5"/>
    </sheetView>
  </sheetViews>
  <sheetFormatPr defaultRowHeight="14.4" x14ac:dyDescent="0.3"/>
  <cols>
    <col min="1" max="1" width="27" bestFit="1" customWidth="1"/>
    <col min="2" max="5" width="7.109375" bestFit="1" customWidth="1"/>
    <col min="6" max="6" width="7.5546875" bestFit="1" customWidth="1"/>
    <col min="7" max="7" width="11.109375" bestFit="1" customWidth="1"/>
    <col min="8" max="8" width="8.77734375" bestFit="1" customWidth="1"/>
    <col min="9" max="9" width="10.6640625" bestFit="1" customWidth="1"/>
    <col min="10" max="10" width="10.5546875" bestFit="1" customWidth="1"/>
    <col min="11" max="11" width="8.5546875" bestFit="1" customWidth="1"/>
    <col min="12" max="12" width="9.5546875" bestFit="1" customWidth="1"/>
    <col min="13" max="13" width="7.109375" bestFit="1" customWidth="1"/>
    <col min="14" max="14" width="9" bestFit="1" customWidth="1"/>
    <col min="15" max="15" width="11.77734375" bestFit="1" customWidth="1"/>
  </cols>
  <sheetData>
    <row r="1" spans="1:15" ht="15.6" x14ac:dyDescent="0.3">
      <c r="A1" s="142"/>
      <c r="B1" s="143"/>
      <c r="C1" s="143"/>
      <c r="D1" s="143"/>
      <c r="E1" s="143"/>
      <c r="F1" s="143"/>
      <c r="G1" s="143"/>
      <c r="H1" s="143"/>
      <c r="I1" s="143"/>
      <c r="J1" s="143"/>
      <c r="K1" s="143"/>
      <c r="L1" s="143"/>
      <c r="M1" s="143"/>
      <c r="N1" s="143"/>
      <c r="O1" s="143"/>
    </row>
    <row r="3" spans="1:15" ht="15.6" x14ac:dyDescent="0.3">
      <c r="A3" s="142"/>
      <c r="B3" s="143"/>
      <c r="C3" s="143"/>
      <c r="D3" s="143"/>
      <c r="E3" s="143"/>
      <c r="F3" s="143"/>
      <c r="G3" s="143"/>
      <c r="H3" s="143"/>
      <c r="I3" s="143"/>
      <c r="J3" s="143"/>
      <c r="K3" s="143"/>
      <c r="L3" s="143"/>
      <c r="M3" s="143"/>
      <c r="N3" s="143"/>
      <c r="O3" s="143"/>
    </row>
    <row r="4" spans="1:15" ht="15.6" x14ac:dyDescent="0.3">
      <c r="A4" s="142"/>
      <c r="B4" s="143"/>
      <c r="C4" s="143"/>
      <c r="D4" s="143"/>
      <c r="E4" s="143"/>
      <c r="F4" s="143"/>
      <c r="G4" s="143"/>
      <c r="H4" s="143"/>
      <c r="I4" s="143"/>
      <c r="J4" s="143"/>
      <c r="K4" s="143"/>
      <c r="L4" s="143"/>
      <c r="M4" s="143"/>
      <c r="N4" s="143"/>
      <c r="O4" s="143"/>
    </row>
    <row r="5" spans="1:15" ht="15.6" x14ac:dyDescent="0.3">
      <c r="A5" s="142"/>
      <c r="B5" s="143"/>
      <c r="C5" s="143"/>
      <c r="D5" s="143"/>
      <c r="E5" s="143"/>
      <c r="F5" s="143"/>
      <c r="G5" s="143"/>
      <c r="H5" s="143"/>
      <c r="I5" s="143"/>
      <c r="J5" s="143"/>
      <c r="K5" s="143"/>
      <c r="L5" s="143"/>
      <c r="M5" s="143"/>
      <c r="N5" s="143"/>
      <c r="O5" s="143"/>
    </row>
    <row r="6" spans="1:15" ht="15.6" x14ac:dyDescent="0.3">
      <c r="A6" s="142"/>
      <c r="B6" s="143"/>
      <c r="C6" s="143"/>
      <c r="D6" s="143"/>
      <c r="E6" s="143"/>
      <c r="F6" s="143"/>
      <c r="G6" s="143"/>
      <c r="H6" s="143"/>
      <c r="I6" s="143"/>
      <c r="J6" s="143"/>
      <c r="K6" s="143"/>
      <c r="L6" s="143"/>
      <c r="M6" s="143"/>
      <c r="N6" s="143"/>
      <c r="O6" s="143"/>
    </row>
    <row r="7" spans="1:15" ht="15.6" x14ac:dyDescent="0.3">
      <c r="A7" s="142"/>
      <c r="B7" s="143"/>
      <c r="C7" s="143"/>
      <c r="D7" s="143"/>
      <c r="E7" s="143"/>
      <c r="F7" s="143"/>
      <c r="G7" s="143"/>
      <c r="H7" s="143"/>
      <c r="I7" s="143"/>
      <c r="J7" s="143"/>
      <c r="K7" s="143"/>
      <c r="L7" s="143"/>
      <c r="M7" s="143"/>
      <c r="N7" s="143"/>
      <c r="O7" s="143"/>
    </row>
    <row r="8" spans="1:15" ht="15.6" x14ac:dyDescent="0.3">
      <c r="A8" s="142"/>
      <c r="B8" s="143"/>
      <c r="C8" s="143"/>
      <c r="D8" s="143"/>
      <c r="E8" s="143"/>
      <c r="F8" s="143"/>
      <c r="G8" s="143"/>
      <c r="H8" s="143"/>
      <c r="I8" s="143"/>
      <c r="J8" s="143"/>
      <c r="K8" s="143"/>
      <c r="L8" s="143"/>
      <c r="M8" s="143"/>
      <c r="N8" s="143"/>
      <c r="O8" s="143"/>
    </row>
    <row r="9" spans="1:15" ht="20.399999999999999" x14ac:dyDescent="0.3">
      <c r="A9" s="243" t="s">
        <v>174</v>
      </c>
      <c r="B9" s="243"/>
      <c r="C9" s="243"/>
      <c r="D9" s="243"/>
      <c r="E9" s="243"/>
      <c r="F9" s="243"/>
      <c r="G9" s="243"/>
      <c r="H9" s="243"/>
      <c r="I9" s="243"/>
      <c r="J9" s="243"/>
      <c r="K9" s="243"/>
      <c r="L9" s="243"/>
      <c r="M9" s="243"/>
      <c r="N9" s="243"/>
      <c r="O9" s="243"/>
    </row>
    <row r="10" spans="1:15" ht="17.399999999999999" x14ac:dyDescent="0.3">
      <c r="A10" s="244" t="s">
        <v>175</v>
      </c>
      <c r="B10" s="244"/>
      <c r="C10" s="244"/>
      <c r="D10" s="244"/>
      <c r="E10" s="244"/>
      <c r="F10" s="244"/>
      <c r="G10" s="244"/>
      <c r="H10" s="244"/>
      <c r="I10" s="244"/>
      <c r="J10" s="244"/>
      <c r="K10" s="244"/>
      <c r="L10" s="244"/>
      <c r="M10" s="244"/>
      <c r="N10" s="244"/>
      <c r="O10" s="244"/>
    </row>
    <row r="11" spans="1:15" ht="15.6" x14ac:dyDescent="0.3">
      <c r="A11" s="142"/>
      <c r="B11" s="143"/>
      <c r="C11" s="143"/>
      <c r="D11" s="143"/>
      <c r="E11" s="143"/>
      <c r="F11" s="143"/>
      <c r="G11" s="143"/>
      <c r="H11" s="143"/>
      <c r="I11" s="143"/>
      <c r="J11" s="143"/>
      <c r="K11" s="143"/>
      <c r="L11" s="143"/>
      <c r="M11" s="143"/>
      <c r="N11" s="143"/>
      <c r="O11" s="143"/>
    </row>
    <row r="12" spans="1:15" ht="15.6" x14ac:dyDescent="0.3">
      <c r="A12" s="142" t="s">
        <v>123</v>
      </c>
      <c r="B12" s="143"/>
      <c r="C12" s="143"/>
      <c r="D12" s="143"/>
      <c r="E12" s="143"/>
      <c r="F12" s="143"/>
      <c r="G12" s="143"/>
      <c r="H12" s="143"/>
      <c r="I12" s="143"/>
      <c r="J12" s="143"/>
      <c r="K12" s="143"/>
      <c r="L12" s="143"/>
      <c r="M12" s="143"/>
      <c r="N12" s="143"/>
      <c r="O12" s="143"/>
    </row>
    <row r="13" spans="1:15" ht="15.6" x14ac:dyDescent="0.3">
      <c r="A13" s="142" t="s">
        <v>124</v>
      </c>
      <c r="B13" s="143"/>
      <c r="C13" s="143"/>
      <c r="D13" s="143"/>
      <c r="E13" s="143"/>
      <c r="F13" s="143"/>
      <c r="G13" s="143"/>
      <c r="H13" s="143"/>
      <c r="I13" s="143"/>
      <c r="J13" s="143"/>
      <c r="K13" s="143"/>
      <c r="L13" s="143"/>
      <c r="M13" s="143"/>
      <c r="N13" s="143"/>
      <c r="O13" s="143"/>
    </row>
    <row r="14" spans="1:15" ht="15.6" x14ac:dyDescent="0.3">
      <c r="A14" s="143"/>
      <c r="B14" s="144"/>
      <c r="C14" s="144"/>
      <c r="D14" s="144"/>
      <c r="E14" s="144"/>
      <c r="F14" s="144"/>
      <c r="G14" s="144"/>
      <c r="H14" s="144"/>
      <c r="I14" s="144"/>
      <c r="J14" s="144"/>
      <c r="K14" s="144"/>
      <c r="L14" s="145"/>
      <c r="M14" s="145"/>
      <c r="N14" s="142"/>
      <c r="O14" s="146" t="s">
        <v>125</v>
      </c>
    </row>
    <row r="15" spans="1:15" ht="15.6" x14ac:dyDescent="0.3">
      <c r="A15" s="147" t="s">
        <v>1</v>
      </c>
      <c r="B15" s="148">
        <v>33329</v>
      </c>
      <c r="C15" s="148">
        <v>33359</v>
      </c>
      <c r="D15" s="148">
        <v>33390</v>
      </c>
      <c r="E15" s="148">
        <v>33420</v>
      </c>
      <c r="F15" s="148">
        <v>33451</v>
      </c>
      <c r="G15" s="148">
        <v>33482</v>
      </c>
      <c r="H15" s="148">
        <v>33512</v>
      </c>
      <c r="I15" s="148">
        <v>33543</v>
      </c>
      <c r="J15" s="148">
        <v>33573</v>
      </c>
      <c r="K15" s="148">
        <v>33604</v>
      </c>
      <c r="L15" s="148">
        <v>33635</v>
      </c>
      <c r="M15" s="148">
        <v>33664</v>
      </c>
      <c r="N15" s="148" t="s">
        <v>126</v>
      </c>
      <c r="O15" s="148" t="s">
        <v>127</v>
      </c>
    </row>
    <row r="16" spans="1:15" ht="15.6" x14ac:dyDescent="0.3">
      <c r="A16" s="149" t="s">
        <v>128</v>
      </c>
      <c r="B16" s="150">
        <v>22.51</v>
      </c>
      <c r="C16" s="150">
        <v>26.6</v>
      </c>
      <c r="D16" s="150">
        <v>28.49</v>
      </c>
      <c r="E16" s="150">
        <v>27.26</v>
      </c>
      <c r="F16" s="150">
        <v>28.328848863636367</v>
      </c>
      <c r="G16" s="150">
        <v>31.34</v>
      </c>
      <c r="H16" s="150">
        <v>30.5</v>
      </c>
      <c r="I16" s="150">
        <v>30.926621590909097</v>
      </c>
      <c r="J16" s="150">
        <v>23.25</v>
      </c>
      <c r="K16" s="150">
        <v>24.02</v>
      </c>
      <c r="L16" s="150">
        <v>25.92</v>
      </c>
      <c r="M16" s="150">
        <v>23.82</v>
      </c>
      <c r="N16" s="151">
        <v>26.924166666666665</v>
      </c>
      <c r="O16" s="152" t="s">
        <v>129</v>
      </c>
    </row>
    <row r="17" spans="1:15" ht="15.6" x14ac:dyDescent="0.3">
      <c r="A17" s="153" t="s">
        <v>130</v>
      </c>
      <c r="B17" s="150">
        <v>24.82</v>
      </c>
      <c r="C17" s="150">
        <v>26.95</v>
      </c>
      <c r="D17" s="150">
        <v>26.63</v>
      </c>
      <c r="E17" s="150">
        <v>23.99</v>
      </c>
      <c r="F17" s="150">
        <v>25.01</v>
      </c>
      <c r="G17" s="150">
        <v>24.79</v>
      </c>
      <c r="H17" s="150">
        <v>20.05</v>
      </c>
      <c r="I17" s="150">
        <v>18.239999999999998</v>
      </c>
      <c r="J17" s="150">
        <v>18.239999999999998</v>
      </c>
      <c r="K17" s="150">
        <v>18.920000000000002</v>
      </c>
      <c r="L17" s="150">
        <v>19.529986842105259</v>
      </c>
      <c r="M17" s="150">
        <v>23.31</v>
      </c>
      <c r="N17" s="151">
        <v>22.551701476377943</v>
      </c>
      <c r="O17" s="152" t="s">
        <v>129</v>
      </c>
    </row>
    <row r="18" spans="1:15" ht="15.6" x14ac:dyDescent="0.3">
      <c r="A18" s="149" t="s">
        <v>131</v>
      </c>
      <c r="B18" s="150">
        <v>25.029405681818183</v>
      </c>
      <c r="C18" s="150">
        <v>24.994865217391304</v>
      </c>
      <c r="D18" s="150">
        <v>24.051813749999997</v>
      </c>
      <c r="E18" s="150">
        <v>25.183221739130431</v>
      </c>
      <c r="F18" s="150">
        <v>25.855818181818179</v>
      </c>
      <c r="G18" s="150">
        <v>27.495242857142859</v>
      </c>
      <c r="H18" s="150">
        <v>26.902101086956524</v>
      </c>
      <c r="I18" s="150">
        <v>23.682511904761906</v>
      </c>
      <c r="J18" s="150">
        <v>27.110101190476186</v>
      </c>
      <c r="K18" s="150">
        <v>29.592549999999996</v>
      </c>
      <c r="L18" s="150">
        <v>31.308380555555548</v>
      </c>
      <c r="M18" s="150">
        <v>28.825039285714286</v>
      </c>
      <c r="N18" s="151">
        <v>26.6</v>
      </c>
      <c r="O18" s="152" t="s">
        <v>129</v>
      </c>
    </row>
    <row r="19" spans="1:15" ht="15.6" x14ac:dyDescent="0.3">
      <c r="A19" s="153" t="s">
        <v>132</v>
      </c>
      <c r="B19" s="150">
        <v>24.214591666666667</v>
      </c>
      <c r="C19" s="150">
        <v>24.98887894736842</v>
      </c>
      <c r="D19" s="150">
        <v>26.425924999999999</v>
      </c>
      <c r="E19" s="150">
        <v>27.458449999999999</v>
      </c>
      <c r="F19" s="150">
        <v>28.663598809523808</v>
      </c>
      <c r="G19" s="150">
        <v>26.265218181818184</v>
      </c>
      <c r="H19" s="150">
        <v>28.449944318181817</v>
      </c>
      <c r="I19" s="150">
        <v>28.226284210526316</v>
      </c>
      <c r="J19" s="150">
        <v>28.966610714285707</v>
      </c>
      <c r="K19" s="150">
        <v>29.999534210526313</v>
      </c>
      <c r="L19" s="150">
        <v>29.647267105263154</v>
      </c>
      <c r="M19" s="150">
        <v>32.210322826086951</v>
      </c>
      <c r="N19" s="151">
        <v>27.98</v>
      </c>
      <c r="O19" s="152" t="s">
        <v>129</v>
      </c>
    </row>
    <row r="20" spans="1:15" ht="15.6" x14ac:dyDescent="0.3">
      <c r="A20" s="149" t="s">
        <v>133</v>
      </c>
      <c r="B20" s="150">
        <v>32.365204761904764</v>
      </c>
      <c r="C20" s="150">
        <v>36.078851249999992</v>
      </c>
      <c r="D20" s="150">
        <v>34.159547619047622</v>
      </c>
      <c r="E20" s="150">
        <v>36.353381818181809</v>
      </c>
      <c r="F20" s="150">
        <v>40.517199999999995</v>
      </c>
      <c r="G20" s="150">
        <v>39.149477272727275</v>
      </c>
      <c r="H20" s="150">
        <v>43.375466666666675</v>
      </c>
      <c r="I20" s="150">
        <v>38.898870000000002</v>
      </c>
      <c r="J20" s="150">
        <v>36.816215476190465</v>
      </c>
      <c r="K20" s="150">
        <v>40.96200249999999</v>
      </c>
      <c r="L20" s="150">
        <v>42.670598611111117</v>
      </c>
      <c r="M20" s="150">
        <v>49.27002045454546</v>
      </c>
      <c r="N20" s="151">
        <v>39.205833333333331</v>
      </c>
      <c r="O20" s="152" t="s">
        <v>129</v>
      </c>
    </row>
    <row r="21" spans="1:15" ht="15.6" x14ac:dyDescent="0.3">
      <c r="A21" s="153" t="s">
        <v>134</v>
      </c>
      <c r="B21" s="150">
        <v>49.427602380952379</v>
      </c>
      <c r="C21" s="150">
        <v>46.995223684210522</v>
      </c>
      <c r="D21" s="150">
        <v>52.720745454545458</v>
      </c>
      <c r="E21" s="150">
        <v>55.008083333333325</v>
      </c>
      <c r="F21" s="150">
        <v>60.048336363636373</v>
      </c>
      <c r="G21" s="150">
        <v>59.739213636363637</v>
      </c>
      <c r="H21" s="150">
        <v>56.279061904761896</v>
      </c>
      <c r="I21" s="150">
        <v>53.143807500000001</v>
      </c>
      <c r="J21" s="150">
        <v>55.045628571428587</v>
      </c>
      <c r="K21" s="150">
        <v>60.54291666666667</v>
      </c>
      <c r="L21" s="150">
        <v>58.953329999999994</v>
      </c>
      <c r="M21" s="150">
        <v>60.011573913043478</v>
      </c>
      <c r="N21" s="151">
        <v>55.720000000000006</v>
      </c>
      <c r="O21" s="152" t="s">
        <v>135</v>
      </c>
    </row>
    <row r="22" spans="1:15" ht="15.6" x14ac:dyDescent="0.3">
      <c r="A22" s="149" t="s">
        <v>136</v>
      </c>
      <c r="B22" s="150">
        <v>67.055031315789464</v>
      </c>
      <c r="C22" s="150">
        <v>67.22359075</v>
      </c>
      <c r="D22" s="150">
        <v>66.897534999999976</v>
      </c>
      <c r="E22" s="150">
        <v>71.285795238095261</v>
      </c>
      <c r="F22" s="150">
        <v>70.775921818181828</v>
      </c>
      <c r="G22" s="150">
        <v>60.933454285714276</v>
      </c>
      <c r="H22" s="150">
        <v>57.270684761904761</v>
      </c>
      <c r="I22" s="150">
        <v>57.793637500000003</v>
      </c>
      <c r="J22" s="150">
        <v>60.34467149999999</v>
      </c>
      <c r="K22" s="150">
        <v>52.529441428571438</v>
      </c>
      <c r="L22" s="150">
        <v>56.531044722222227</v>
      </c>
      <c r="M22" s="150">
        <v>60.262107954545442</v>
      </c>
      <c r="N22" s="151">
        <v>62.46</v>
      </c>
      <c r="O22" s="152" t="s">
        <v>137</v>
      </c>
    </row>
    <row r="23" spans="1:15" ht="15.6" x14ac:dyDescent="0.3">
      <c r="A23" s="153" t="s">
        <v>138</v>
      </c>
      <c r="B23" s="150">
        <v>65.481951250000009</v>
      </c>
      <c r="C23" s="150">
        <v>65.695437249999983</v>
      </c>
      <c r="D23" s="150">
        <v>68.099250714285716</v>
      </c>
      <c r="E23" s="150">
        <v>72.575061818181794</v>
      </c>
      <c r="F23" s="150">
        <v>68.982336590909085</v>
      </c>
      <c r="G23" s="150">
        <v>74.776604250000005</v>
      </c>
      <c r="H23" s="150">
        <v>79.327164347826084</v>
      </c>
      <c r="I23" s="150">
        <v>89.107013571428567</v>
      </c>
      <c r="J23" s="150">
        <v>87.921265000000034</v>
      </c>
      <c r="K23" s="150">
        <v>89.517554090909101</v>
      </c>
      <c r="L23" s="150">
        <v>92.374237368421049</v>
      </c>
      <c r="M23" s="150">
        <v>99.759819499999978</v>
      </c>
      <c r="N23" s="151">
        <v>79.249166666666667</v>
      </c>
      <c r="O23" s="152" t="s">
        <v>139</v>
      </c>
    </row>
    <row r="24" spans="1:15" ht="15.6" x14ac:dyDescent="0.3">
      <c r="A24" s="149" t="s">
        <v>140</v>
      </c>
      <c r="B24" s="150">
        <v>105.72015318181816</v>
      </c>
      <c r="C24" s="150">
        <v>120.90896144736843</v>
      </c>
      <c r="D24" s="150">
        <v>129.71535511904762</v>
      </c>
      <c r="E24" s="150">
        <v>132.47124826086957</v>
      </c>
      <c r="F24" s="150">
        <v>113.05438523809524</v>
      </c>
      <c r="G24" s="150">
        <v>96.812891590909103</v>
      </c>
      <c r="H24" s="150">
        <v>69.121526666666668</v>
      </c>
      <c r="I24" s="150">
        <v>50.907636000000011</v>
      </c>
      <c r="J24" s="150">
        <v>40.61143324999999</v>
      </c>
      <c r="K24" s="150">
        <v>43.986057631578959</v>
      </c>
      <c r="L24" s="150">
        <v>43.217028000000006</v>
      </c>
      <c r="M24" s="150">
        <v>46.021762045454544</v>
      </c>
      <c r="N24" s="151">
        <v>83.566666666666663</v>
      </c>
      <c r="O24" s="152" t="s">
        <v>141</v>
      </c>
    </row>
    <row r="25" spans="1:15" ht="15.6" x14ac:dyDescent="0.3">
      <c r="A25" s="153" t="s">
        <v>142</v>
      </c>
      <c r="B25" s="150">
        <v>50.135601875000006</v>
      </c>
      <c r="C25" s="150">
        <v>58.003360416666673</v>
      </c>
      <c r="D25" s="150">
        <v>69.115276136363633</v>
      </c>
      <c r="E25" s="150">
        <v>64.82460978260869</v>
      </c>
      <c r="F25" s="150">
        <v>71.979192105263166</v>
      </c>
      <c r="G25" s="150">
        <v>67.701650000000001</v>
      </c>
      <c r="H25" s="150">
        <v>73.064288636363642</v>
      </c>
      <c r="I25" s="150">
        <v>77.390866249999959</v>
      </c>
      <c r="J25" s="150">
        <v>75.01622261904761</v>
      </c>
      <c r="K25" s="150">
        <v>76.608826250000021</v>
      </c>
      <c r="L25" s="150">
        <v>73.694277777777771</v>
      </c>
      <c r="M25" s="150">
        <v>78.018300000000025</v>
      </c>
      <c r="N25" s="151">
        <v>69.762270040485845</v>
      </c>
      <c r="O25" s="152" t="s">
        <v>143</v>
      </c>
    </row>
    <row r="26" spans="1:15" ht="15.6" x14ac:dyDescent="0.3">
      <c r="A26" s="153" t="s">
        <v>144</v>
      </c>
      <c r="B26" s="150">
        <v>84.08172900000001</v>
      </c>
      <c r="C26" s="150">
        <v>76.161427777777774</v>
      </c>
      <c r="D26" s="150">
        <v>74.331090000000003</v>
      </c>
      <c r="E26" s="150">
        <v>73.543052272727266</v>
      </c>
      <c r="F26" s="150">
        <v>75.126988999999995</v>
      </c>
      <c r="G26" s="150">
        <v>76.092999999999989</v>
      </c>
      <c r="H26" s="150">
        <v>81.109814285714293</v>
      </c>
      <c r="I26" s="150">
        <v>84.255698500000008</v>
      </c>
      <c r="J26" s="150">
        <v>89.772982380952385</v>
      </c>
      <c r="K26" s="150">
        <v>93.868447999999987</v>
      </c>
      <c r="L26" s="150">
        <v>101.62099944444444</v>
      </c>
      <c r="M26" s="150">
        <v>110.71446956521741</v>
      </c>
      <c r="N26" s="151">
        <v>85.09</v>
      </c>
      <c r="O26" s="152" t="s">
        <v>145</v>
      </c>
    </row>
    <row r="27" spans="1:15" ht="15.6" x14ac:dyDescent="0.3">
      <c r="A27" s="153" t="s">
        <v>146</v>
      </c>
      <c r="B27" s="150">
        <v>118.63579277777778</v>
      </c>
      <c r="C27" s="150">
        <v>110.80254368421052</v>
      </c>
      <c r="D27" s="150">
        <v>109.99406772727275</v>
      </c>
      <c r="E27" s="150">
        <v>112.52711428571428</v>
      </c>
      <c r="F27" s="150">
        <v>106.93536000000002</v>
      </c>
      <c r="G27" s="150">
        <v>108.79064681818183</v>
      </c>
      <c r="H27" s="150">
        <v>106.10836949999998</v>
      </c>
      <c r="I27" s="150">
        <v>109.61574428571427</v>
      </c>
      <c r="J27" s="150">
        <v>107.19388799999999</v>
      </c>
      <c r="K27" s="150">
        <v>110.46828473684211</v>
      </c>
      <c r="L27" s="150">
        <v>117.66619714285711</v>
      </c>
      <c r="M27" s="150">
        <v>123.61055818181818</v>
      </c>
      <c r="N27" s="151">
        <v>111.89</v>
      </c>
      <c r="O27" s="152" t="s">
        <v>147</v>
      </c>
    </row>
    <row r="28" spans="1:15" ht="15.6" x14ac:dyDescent="0.3">
      <c r="A28" s="153" t="s">
        <v>148</v>
      </c>
      <c r="B28" s="150">
        <v>117.97451263157893</v>
      </c>
      <c r="C28" s="150">
        <v>108.05380666666667</v>
      </c>
      <c r="D28" s="150">
        <v>94.507602631578962</v>
      </c>
      <c r="E28" s="150">
        <v>100.33814000000001</v>
      </c>
      <c r="F28" s="150">
        <v>110.06828299999999</v>
      </c>
      <c r="G28" s="150">
        <v>111.77087950000001</v>
      </c>
      <c r="H28" s="150">
        <v>109.78858409090908</v>
      </c>
      <c r="I28" s="150">
        <v>107.87074714285717</v>
      </c>
      <c r="J28" s="150">
        <v>107.28096684210526</v>
      </c>
      <c r="K28" s="150">
        <v>109.55123681818182</v>
      </c>
      <c r="L28" s="150">
        <v>112.67557388888889</v>
      </c>
      <c r="M28" s="150">
        <v>106.44967000000001</v>
      </c>
      <c r="N28" s="151">
        <v>107.97</v>
      </c>
      <c r="O28" s="152" t="s">
        <v>149</v>
      </c>
    </row>
    <row r="29" spans="1:15" ht="15.6" x14ac:dyDescent="0.3">
      <c r="A29" s="149" t="s">
        <v>150</v>
      </c>
      <c r="B29" s="150">
        <v>101.57480404761903</v>
      </c>
      <c r="C29" s="150">
        <v>101.09704973684211</v>
      </c>
      <c r="D29" s="150">
        <v>101.11112850000002</v>
      </c>
      <c r="E29" s="150">
        <v>104.85975108695654</v>
      </c>
      <c r="F29" s="150">
        <v>108.45469894736839</v>
      </c>
      <c r="G29" s="150">
        <v>109.46571142857142</v>
      </c>
      <c r="H29" s="150">
        <v>107.37352068181818</v>
      </c>
      <c r="I29" s="150">
        <v>106.55480452380951</v>
      </c>
      <c r="J29" s="150">
        <v>108.71841975000002</v>
      </c>
      <c r="K29" s="150">
        <v>105.29499857142855</v>
      </c>
      <c r="L29" s="150">
        <v>106.18825474999998</v>
      </c>
      <c r="M29" s="150">
        <v>105.29528785714285</v>
      </c>
      <c r="N29" s="151">
        <v>105.52</v>
      </c>
      <c r="O29" s="152" t="s">
        <v>151</v>
      </c>
    </row>
    <row r="30" spans="1:15" ht="15.6" x14ac:dyDescent="0.3">
      <c r="A30" s="149" t="s">
        <v>152</v>
      </c>
      <c r="B30" s="150">
        <v>105.55533930000001</v>
      </c>
      <c r="C30" s="150">
        <v>106.85322644444446</v>
      </c>
      <c r="D30" s="150">
        <v>109.0539181904762</v>
      </c>
      <c r="E30" s="150">
        <v>106.2961561818182</v>
      </c>
      <c r="F30" s="150">
        <v>101.89198810000001</v>
      </c>
      <c r="G30" s="150">
        <v>96.959094045454563</v>
      </c>
      <c r="H30" s="150">
        <v>86.827638380952408</v>
      </c>
      <c r="I30" s="150">
        <v>77.581451350000009</v>
      </c>
      <c r="J30" s="150">
        <v>61.211098238095246</v>
      </c>
      <c r="K30" s="150">
        <v>46.586617428571437</v>
      </c>
      <c r="L30" s="150">
        <v>56.430382166666682</v>
      </c>
      <c r="M30" s="150">
        <v>55.176776090909101</v>
      </c>
      <c r="N30" s="151">
        <v>84.156300105691088</v>
      </c>
      <c r="O30" s="152" t="s">
        <v>153</v>
      </c>
    </row>
    <row r="31" spans="1:15" ht="15.6" x14ac:dyDescent="0.3">
      <c r="A31" s="149" t="s">
        <v>154</v>
      </c>
      <c r="B31" s="150">
        <v>59.070307599999992</v>
      </c>
      <c r="C31" s="150">
        <v>63.821381000000002</v>
      </c>
      <c r="D31" s="150">
        <v>61.745464190476184</v>
      </c>
      <c r="E31" s="150">
        <v>56.300030227272721</v>
      </c>
      <c r="F31" s="150">
        <v>47.327433333333339</v>
      </c>
      <c r="G31" s="150">
        <v>46.104868599999996</v>
      </c>
      <c r="H31" s="150">
        <v>46.675260727272715</v>
      </c>
      <c r="I31" s="150">
        <v>42.504005149999998</v>
      </c>
      <c r="J31" s="150">
        <v>35.680888380952382</v>
      </c>
      <c r="K31" s="150">
        <v>28.078798200000005</v>
      </c>
      <c r="L31" s="150">
        <v>30.525591894736845</v>
      </c>
      <c r="M31" s="150">
        <v>36.421309142857147</v>
      </c>
      <c r="N31" s="151">
        <v>46.16562723966944</v>
      </c>
      <c r="O31" s="152" t="s">
        <v>155</v>
      </c>
    </row>
    <row r="32" spans="1:15" ht="15.6" x14ac:dyDescent="0.3">
      <c r="A32" s="149" t="s">
        <v>156</v>
      </c>
      <c r="B32" s="150">
        <v>39.879094571428574</v>
      </c>
      <c r="C32" s="150">
        <v>45.006805849999999</v>
      </c>
      <c r="D32" s="150">
        <v>46.963111931818183</v>
      </c>
      <c r="E32" s="150">
        <v>43.519136674999999</v>
      </c>
      <c r="F32" s="150">
        <v>44.384978928571435</v>
      </c>
      <c r="G32" s="150">
        <v>44.480860166666659</v>
      </c>
      <c r="H32" s="150">
        <v>49.252621083333331</v>
      </c>
      <c r="I32" s="150">
        <v>44.456194318181822</v>
      </c>
      <c r="J32" s="150">
        <v>52.735649124999995</v>
      </c>
      <c r="K32" s="150">
        <v>54.077528250000015</v>
      </c>
      <c r="L32" s="150">
        <v>54.86268470000001</v>
      </c>
      <c r="M32" s="150">
        <v>51.469629652173914</v>
      </c>
      <c r="N32" s="151">
        <v>47.557812594621531</v>
      </c>
      <c r="O32" s="152" t="s">
        <v>157</v>
      </c>
    </row>
    <row r="33" spans="1:15" ht="15.6" x14ac:dyDescent="0.3">
      <c r="A33" s="149" t="s">
        <v>158</v>
      </c>
      <c r="B33" s="150">
        <v>52.490691055555551</v>
      </c>
      <c r="C33" s="150">
        <v>50.567623025000003</v>
      </c>
      <c r="D33" s="150">
        <v>46.555774</v>
      </c>
      <c r="E33" s="150">
        <v>47.857632880952387</v>
      </c>
      <c r="F33" s="150">
        <v>50.633570880952391</v>
      </c>
      <c r="G33" s="150">
        <v>54.523307750000001</v>
      </c>
      <c r="H33" s="150">
        <v>56.059518095238097</v>
      </c>
      <c r="I33" s="150">
        <v>61.315904545454551</v>
      </c>
      <c r="J33" s="150">
        <v>62.290080157894742</v>
      </c>
      <c r="K33" s="150">
        <v>67.060153386363623</v>
      </c>
      <c r="L33" s="150">
        <v>63.537335763157884</v>
      </c>
      <c r="M33" s="150">
        <v>63.795413214285702</v>
      </c>
      <c r="N33" s="151">
        <v>56.426878865306136</v>
      </c>
      <c r="O33" s="152" t="s">
        <v>159</v>
      </c>
    </row>
    <row r="34" spans="1:15" ht="15.6" x14ac:dyDescent="0.3">
      <c r="A34" s="149" t="s">
        <v>160</v>
      </c>
      <c r="B34" s="150">
        <v>69.219098437499994</v>
      </c>
      <c r="C34" s="150">
        <v>75.252045250000009</v>
      </c>
      <c r="D34" s="150">
        <v>73.825793025000024</v>
      </c>
      <c r="E34" s="150">
        <v>73.468274863636353</v>
      </c>
      <c r="F34" s="150">
        <v>72.5347376</v>
      </c>
      <c r="G34" s="150">
        <v>77.883389637499988</v>
      </c>
      <c r="H34" s="150">
        <v>80.082670250000007</v>
      </c>
      <c r="I34" s="150">
        <v>65.399219369047628</v>
      </c>
      <c r="J34" s="150">
        <v>57.772638352941186</v>
      </c>
      <c r="K34" s="150">
        <v>59.26800257954546</v>
      </c>
      <c r="L34" s="150">
        <v>64.534530625000002</v>
      </c>
      <c r="M34" s="150">
        <v>66.739999999999995</v>
      </c>
      <c r="N34" s="151">
        <v>69.88</v>
      </c>
      <c r="O34" s="152" t="s">
        <v>161</v>
      </c>
    </row>
    <row r="35" spans="1:15" ht="15.6" x14ac:dyDescent="0.3">
      <c r="A35" s="149" t="s">
        <v>162</v>
      </c>
      <c r="B35" s="150">
        <v>71.000922499999987</v>
      </c>
      <c r="C35" s="150">
        <v>70.013724342105249</v>
      </c>
      <c r="D35" s="150">
        <v>62.374424999999988</v>
      </c>
      <c r="E35" s="150">
        <v>63.627010326086953</v>
      </c>
      <c r="F35" s="150">
        <v>59.349817105263163</v>
      </c>
      <c r="G35" s="150">
        <v>61.723273214285719</v>
      </c>
      <c r="H35" s="150">
        <v>59.703420454545466</v>
      </c>
      <c r="I35" s="150">
        <v>62.53257261904762</v>
      </c>
      <c r="J35" s="150">
        <v>65.502042500000016</v>
      </c>
      <c r="K35" s="150">
        <v>64.309747023809535</v>
      </c>
      <c r="L35" s="150">
        <v>54.627359999999996</v>
      </c>
      <c r="M35" s="150">
        <v>33.358738068181822</v>
      </c>
      <c r="N35" s="151">
        <v>60.470826062752998</v>
      </c>
      <c r="O35" s="152" t="s">
        <v>163</v>
      </c>
    </row>
    <row r="36" spans="1:15" ht="15.6" x14ac:dyDescent="0.3">
      <c r="A36" s="149" t="s">
        <v>164</v>
      </c>
      <c r="B36" s="150">
        <v>19.901683749999997</v>
      </c>
      <c r="C36" s="150">
        <v>30.605539617647054</v>
      </c>
      <c r="D36" s="150">
        <v>40.633868636363637</v>
      </c>
      <c r="E36" s="150">
        <v>43.347552547619046</v>
      </c>
      <c r="F36" s="150">
        <v>44.190017605263151</v>
      </c>
      <c r="G36" s="150">
        <v>41.35410665909091</v>
      </c>
      <c r="H36" s="150">
        <v>40.658228000000001</v>
      </c>
      <c r="I36" s="150">
        <v>43.340640499999999</v>
      </c>
      <c r="J36" s="157">
        <v>49.8398169523809</v>
      </c>
      <c r="K36" s="157">
        <v>54.794569624999994</v>
      </c>
      <c r="L36" s="157">
        <v>61.216117289473672</v>
      </c>
      <c r="M36" s="157">
        <v>64.729496782608663</v>
      </c>
      <c r="N36" s="151">
        <v>44.821938917004019</v>
      </c>
      <c r="O36" s="152" t="s">
        <v>165</v>
      </c>
    </row>
    <row r="37" spans="1:15" ht="15.6" x14ac:dyDescent="0.3">
      <c r="A37" s="149" t="s">
        <v>166</v>
      </c>
      <c r="B37" s="157">
        <v>63.396976500000008</v>
      </c>
      <c r="C37" s="157">
        <v>66.953084852941174</v>
      </c>
      <c r="D37" s="157">
        <v>71.982647477272721</v>
      </c>
      <c r="E37" s="157">
        <v>73.539060523809511</v>
      </c>
      <c r="F37" s="157">
        <v>69.804724424999989</v>
      </c>
      <c r="G37" s="157">
        <v>73.130738295454549</v>
      </c>
      <c r="H37" s="157">
        <v>82.107393785714294</v>
      </c>
      <c r="I37" s="157">
        <v>80.637301023809528</v>
      </c>
      <c r="J37" s="157">
        <v>73.298823523809531</v>
      </c>
      <c r="K37" s="157">
        <v>84.666318799999985</v>
      </c>
      <c r="L37" s="157">
        <v>94.067715194444446</v>
      </c>
      <c r="M37" s="157">
        <v>112.87479254347826</v>
      </c>
      <c r="N37" s="151">
        <v>79.181425130081294</v>
      </c>
      <c r="O37" s="152" t="s">
        <v>165</v>
      </c>
    </row>
    <row r="38" spans="1:15" ht="15.6" x14ac:dyDescent="0.3">
      <c r="A38" s="149" t="s">
        <v>167</v>
      </c>
      <c r="B38" s="157">
        <v>102.96599786842103</v>
      </c>
      <c r="C38" s="157">
        <v>109.50503773684208</v>
      </c>
      <c r="D38" s="157">
        <v>116.01138504999999</v>
      </c>
      <c r="E38" s="157">
        <v>105.49124737500001</v>
      </c>
      <c r="F38" s="157">
        <v>97.404465428571427</v>
      </c>
      <c r="G38" s="157">
        <v>90.706344809523813</v>
      </c>
      <c r="H38" s="157">
        <v>91.698948700000003</v>
      </c>
      <c r="I38" s="157">
        <v>87.552266068181822</v>
      </c>
      <c r="J38" s="157">
        <v>78.100942275000008</v>
      </c>
      <c r="K38" s="157">
        <v>80.922269684210534</v>
      </c>
      <c r="L38" s="157">
        <v>82.278706675000009</v>
      </c>
      <c r="M38" s="157">
        <v>78.539480282608693</v>
      </c>
      <c r="N38" s="151">
        <v>93.151566872950767</v>
      </c>
      <c r="O38" s="152" t="s">
        <v>165</v>
      </c>
    </row>
    <row r="39" spans="1:15" ht="15.6" x14ac:dyDescent="0.3">
      <c r="A39" s="149" t="s">
        <v>168</v>
      </c>
      <c r="B39" s="150">
        <v>83.755358416666667</v>
      </c>
      <c r="C39" s="150">
        <v>74.981547824999993</v>
      </c>
      <c r="D39" s="150">
        <v>74.928252024999992</v>
      </c>
      <c r="E39" s="150">
        <v>80.368492428571415</v>
      </c>
      <c r="F39" s="150">
        <v>86.426703761904761</v>
      </c>
      <c r="G39" s="150">
        <v>93.539339400000003</v>
      </c>
      <c r="H39" s="150">
        <v>90.080343022727263</v>
      </c>
      <c r="I39" s="150">
        <v>83.455368214285699</v>
      </c>
      <c r="J39" s="150">
        <v>77.419721631578938</v>
      </c>
      <c r="K39" s="150">
        <v>79.216541545454547</v>
      </c>
      <c r="L39" s="150">
        <v>81.621881399999992</v>
      </c>
      <c r="M39" s="150">
        <v>84.486883150000011</v>
      </c>
      <c r="N39" s="151">
        <v>82.580010456967216</v>
      </c>
      <c r="O39" s="152" t="s">
        <v>165</v>
      </c>
    </row>
    <row r="40" spans="1:15" ht="15.6" x14ac:dyDescent="0.3">
      <c r="A40" s="149" t="s">
        <v>169</v>
      </c>
      <c r="B40" s="150">
        <v>89.437476250000003</v>
      </c>
      <c r="C40" s="150">
        <v>83.624938157894732</v>
      </c>
      <c r="D40" s="150">
        <v>82.552871052631588</v>
      </c>
      <c r="E40" s="150">
        <v>84.148165217391295</v>
      </c>
      <c r="F40" s="150">
        <v>78.270687499999994</v>
      </c>
      <c r="G40" s="150">
        <v>73.694888690476205</v>
      </c>
      <c r="H40" s="150">
        <v>75.124704545454534</v>
      </c>
      <c r="I40" s="150">
        <v>73.016986904761893</v>
      </c>
      <c r="J40" s="150">
        <v>73.336846874999978</v>
      </c>
      <c r="K40" s="150">
        <v>80.196197499999997</v>
      </c>
      <c r="L40" s="150">
        <v>77.328566875000007</v>
      </c>
      <c r="M40" s="150">
        <v>72.466606250000012</v>
      </c>
      <c r="N40" s="151">
        <v>78.560027295918331</v>
      </c>
      <c r="O40" s="152" t="s">
        <v>170</v>
      </c>
    </row>
    <row r="41" spans="1:15" ht="15.6" x14ac:dyDescent="0.3">
      <c r="A41" s="154" t="s">
        <v>171</v>
      </c>
      <c r="B41" s="155"/>
      <c r="C41" s="155"/>
      <c r="D41" s="155"/>
      <c r="E41" s="155"/>
      <c r="F41" s="155"/>
      <c r="G41" s="156"/>
      <c r="H41" s="156"/>
      <c r="I41" s="156"/>
      <c r="J41" s="156"/>
      <c r="K41" s="156"/>
      <c r="L41" s="156"/>
      <c r="M41" s="156"/>
      <c r="N41" s="143"/>
      <c r="O41" s="143"/>
    </row>
    <row r="42" spans="1:15" ht="15.6" x14ac:dyDescent="0.3">
      <c r="A42" s="245" t="s">
        <v>172</v>
      </c>
      <c r="B42" s="245"/>
      <c r="C42" s="245"/>
      <c r="D42" s="245"/>
      <c r="E42" s="245"/>
      <c r="F42" s="245"/>
      <c r="G42" s="245"/>
      <c r="H42" s="245"/>
      <c r="I42" s="245"/>
      <c r="J42" s="245"/>
      <c r="K42" s="245"/>
      <c r="L42" s="245"/>
      <c r="M42" s="245"/>
      <c r="N42" s="245"/>
      <c r="O42" s="245"/>
    </row>
    <row r="43" spans="1:15" ht="15.6" x14ac:dyDescent="0.3">
      <c r="A43" s="245" t="s">
        <v>173</v>
      </c>
      <c r="B43" s="245"/>
      <c r="C43" s="245"/>
      <c r="D43" s="245"/>
      <c r="E43" s="245"/>
      <c r="F43" s="245"/>
      <c r="G43" s="245"/>
      <c r="H43" s="245"/>
      <c r="I43" s="245"/>
      <c r="J43" s="245"/>
      <c r="K43" s="245"/>
      <c r="L43" s="245"/>
      <c r="M43" s="245"/>
      <c r="N43" s="245"/>
      <c r="O43" s="245"/>
    </row>
  </sheetData>
  <mergeCells count="4">
    <mergeCell ref="A9:O9"/>
    <mergeCell ref="A10:O10"/>
    <mergeCell ref="A42:O42"/>
    <mergeCell ref="A43:O4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77226-C038-4956-93F5-90A14B4FA14A}">
  <dimension ref="A1:AF71"/>
  <sheetViews>
    <sheetView zoomScale="73" workbookViewId="0">
      <selection activeCell="D9" sqref="D9"/>
    </sheetView>
  </sheetViews>
  <sheetFormatPr defaultRowHeight="14.4" x14ac:dyDescent="0.3"/>
  <cols>
    <col min="1" max="1" width="30.44140625" bestFit="1" customWidth="1"/>
    <col min="2" max="2" width="15.44140625" bestFit="1" customWidth="1"/>
    <col min="3" max="3" width="11.6640625" bestFit="1" customWidth="1"/>
    <col min="4" max="4" width="11.21875" customWidth="1"/>
  </cols>
  <sheetData>
    <row r="1" spans="1:32" x14ac:dyDescent="0.3">
      <c r="B1" s="212" t="s">
        <v>185</v>
      </c>
      <c r="C1" s="212"/>
      <c r="D1" s="212"/>
      <c r="E1" s="212"/>
      <c r="F1" s="212"/>
      <c r="G1" s="212"/>
      <c r="H1" s="212"/>
      <c r="I1" s="212"/>
      <c r="J1" s="212"/>
      <c r="K1" s="212"/>
      <c r="L1" s="212"/>
      <c r="M1" s="212"/>
      <c r="N1" s="212"/>
      <c r="O1" s="212"/>
      <c r="P1" s="212"/>
    </row>
    <row r="2" spans="1:32" x14ac:dyDescent="0.3">
      <c r="B2" s="212"/>
      <c r="C2" s="212"/>
      <c r="D2" s="212"/>
      <c r="E2" s="212"/>
      <c r="F2" s="212"/>
      <c r="G2" s="212"/>
      <c r="H2" s="212"/>
      <c r="I2" s="212"/>
      <c r="J2" s="212"/>
      <c r="K2" s="212"/>
      <c r="L2" s="212"/>
      <c r="M2" s="212"/>
      <c r="N2" s="212"/>
      <c r="O2" s="212"/>
      <c r="P2" s="212"/>
    </row>
    <row r="5" spans="1:32" ht="15.6" x14ac:dyDescent="0.3">
      <c r="A5" s="246" t="s">
        <v>177</v>
      </c>
      <c r="B5" s="246"/>
      <c r="C5" s="246"/>
      <c r="D5" s="247"/>
      <c r="E5" s="157">
        <v>49.8398169523809</v>
      </c>
      <c r="F5" s="157">
        <v>54.794569624999994</v>
      </c>
      <c r="G5" s="157">
        <v>61.216117289473672</v>
      </c>
      <c r="H5" s="157">
        <v>64.729496782608663</v>
      </c>
      <c r="I5" s="157">
        <v>63.396976500000008</v>
      </c>
      <c r="J5" s="157">
        <v>66.953084852941174</v>
      </c>
      <c r="K5" s="157">
        <v>71.982647477272721</v>
      </c>
      <c r="L5" s="157">
        <v>73.539060523809511</v>
      </c>
      <c r="M5" s="157">
        <v>69.804724424999989</v>
      </c>
      <c r="N5" s="157">
        <v>73.130738295454549</v>
      </c>
      <c r="O5" s="157">
        <v>82.107393785714294</v>
      </c>
      <c r="P5" s="157">
        <v>80.637301023809528</v>
      </c>
      <c r="Q5" s="157">
        <v>73.298823523809531</v>
      </c>
      <c r="R5" s="157">
        <v>84.666318799999985</v>
      </c>
      <c r="S5" s="157">
        <v>94.067715194444446</v>
      </c>
      <c r="T5" s="157">
        <v>112.87479254347826</v>
      </c>
      <c r="U5" s="157">
        <v>102.96599786842103</v>
      </c>
      <c r="V5" s="157">
        <v>109.50503773684208</v>
      </c>
      <c r="W5" s="157">
        <v>116.01138504999999</v>
      </c>
      <c r="X5" s="157">
        <v>105.49124737500001</v>
      </c>
      <c r="Y5" s="157">
        <v>97.404465428571427</v>
      </c>
      <c r="Z5" s="157">
        <v>90.706344809523813</v>
      </c>
      <c r="AA5" s="157">
        <v>91.698948700000003</v>
      </c>
      <c r="AB5" s="157">
        <v>87.552266068181822</v>
      </c>
      <c r="AC5" s="157">
        <v>78.100942275000008</v>
      </c>
      <c r="AD5" s="157">
        <v>80.922269684210534</v>
      </c>
      <c r="AE5" s="157">
        <v>82.278706675000009</v>
      </c>
      <c r="AF5" s="157">
        <v>78.539480282608693</v>
      </c>
    </row>
    <row r="7" spans="1:32" x14ac:dyDescent="0.3">
      <c r="A7" s="124"/>
      <c r="B7" s="124"/>
      <c r="C7" s="124"/>
      <c r="D7" s="124"/>
      <c r="E7" s="158">
        <v>2020</v>
      </c>
      <c r="F7" s="159">
        <v>2021</v>
      </c>
      <c r="G7" s="159">
        <v>2021</v>
      </c>
      <c r="H7" s="159">
        <v>2021</v>
      </c>
      <c r="I7" s="159">
        <v>2021</v>
      </c>
      <c r="J7" s="159">
        <v>2021</v>
      </c>
      <c r="K7" s="159">
        <v>2021</v>
      </c>
      <c r="L7" s="159">
        <v>2021</v>
      </c>
      <c r="M7" s="159">
        <v>2021</v>
      </c>
      <c r="N7" s="159">
        <v>2021</v>
      </c>
      <c r="O7" s="159">
        <v>2021</v>
      </c>
      <c r="P7" s="159">
        <v>2021</v>
      </c>
      <c r="Q7" s="159">
        <v>2021</v>
      </c>
      <c r="R7" s="160">
        <v>2022</v>
      </c>
      <c r="S7" s="160">
        <v>2022</v>
      </c>
      <c r="T7" s="160">
        <v>2022</v>
      </c>
      <c r="U7" s="160">
        <v>2022</v>
      </c>
      <c r="V7" s="160">
        <v>2022</v>
      </c>
      <c r="W7" s="160">
        <v>2022</v>
      </c>
      <c r="X7" s="160">
        <v>2022</v>
      </c>
      <c r="Y7" s="160">
        <v>2022</v>
      </c>
      <c r="Z7" s="160">
        <v>2022</v>
      </c>
      <c r="AA7" s="160">
        <v>2022</v>
      </c>
      <c r="AB7" s="160">
        <v>2022</v>
      </c>
      <c r="AC7" s="160">
        <v>2022</v>
      </c>
      <c r="AD7" s="161">
        <v>2023</v>
      </c>
      <c r="AE7" s="161">
        <v>2023</v>
      </c>
      <c r="AF7" s="161">
        <v>2023</v>
      </c>
    </row>
    <row r="8" spans="1:32" x14ac:dyDescent="0.3">
      <c r="A8" s="125" t="s">
        <v>64</v>
      </c>
      <c r="B8" s="125" t="s">
        <v>65</v>
      </c>
      <c r="C8" s="125" t="s">
        <v>0</v>
      </c>
      <c r="D8" s="125" t="s">
        <v>176</v>
      </c>
      <c r="E8" s="158" t="s">
        <v>46</v>
      </c>
      <c r="F8" s="159" t="s">
        <v>31</v>
      </c>
      <c r="G8" s="159" t="s">
        <v>35</v>
      </c>
      <c r="H8" s="159" t="s">
        <v>36</v>
      </c>
      <c r="I8" s="159" t="s">
        <v>37</v>
      </c>
      <c r="J8" s="159" t="s">
        <v>38</v>
      </c>
      <c r="K8" s="159" t="s">
        <v>39</v>
      </c>
      <c r="L8" s="159" t="s">
        <v>40</v>
      </c>
      <c r="M8" s="159" t="s">
        <v>41</v>
      </c>
      <c r="N8" s="159" t="s">
        <v>42</v>
      </c>
      <c r="O8" s="159" t="s">
        <v>43</v>
      </c>
      <c r="P8" s="159" t="s">
        <v>45</v>
      </c>
      <c r="Q8" s="159" t="s">
        <v>46</v>
      </c>
      <c r="R8" s="160" t="s">
        <v>31</v>
      </c>
      <c r="S8" s="160" t="s">
        <v>35</v>
      </c>
      <c r="T8" s="160" t="s">
        <v>36</v>
      </c>
      <c r="U8" s="160" t="s">
        <v>37</v>
      </c>
      <c r="V8" s="160" t="s">
        <v>38</v>
      </c>
      <c r="W8" s="160" t="s">
        <v>39</v>
      </c>
      <c r="X8" s="160" t="s">
        <v>40</v>
      </c>
      <c r="Y8" s="160" t="s">
        <v>41</v>
      </c>
      <c r="Z8" s="160" t="s">
        <v>42</v>
      </c>
      <c r="AA8" s="160" t="s">
        <v>43</v>
      </c>
      <c r="AB8" s="160" t="s">
        <v>45</v>
      </c>
      <c r="AC8" s="160" t="s">
        <v>46</v>
      </c>
      <c r="AD8" s="161" t="s">
        <v>31</v>
      </c>
      <c r="AE8" s="161" t="s">
        <v>35</v>
      </c>
      <c r="AF8" s="161" t="s">
        <v>36</v>
      </c>
    </row>
    <row r="9" spans="1:32" x14ac:dyDescent="0.3">
      <c r="A9" s="164" t="s">
        <v>3</v>
      </c>
      <c r="B9" s="164" t="s">
        <v>66</v>
      </c>
      <c r="C9" s="124" t="s">
        <v>34</v>
      </c>
      <c r="D9" s="163">
        <f>CORREL($E$9:$AF$9,$E$5:$AF$5)</f>
        <v>0.35390489488918025</v>
      </c>
      <c r="E9" s="124">
        <v>146</v>
      </c>
      <c r="F9" s="124">
        <v>144.9</v>
      </c>
      <c r="G9" s="124">
        <v>144.30000000000001</v>
      </c>
      <c r="H9" s="124">
        <v>144.1</v>
      </c>
      <c r="I9" s="124">
        <v>144.30000000000001</v>
      </c>
      <c r="J9" s="124">
        <v>146.30000000000001</v>
      </c>
      <c r="K9" s="124">
        <v>146.69999999999999</v>
      </c>
      <c r="L9" s="124">
        <v>146.4</v>
      </c>
      <c r="M9" s="124">
        <v>146.6</v>
      </c>
      <c r="N9" s="124">
        <v>146.6</v>
      </c>
      <c r="O9" s="124">
        <v>147.4</v>
      </c>
      <c r="P9" s="124">
        <v>148.19999999999999</v>
      </c>
      <c r="Q9" s="124">
        <v>148.69999999999999</v>
      </c>
      <c r="R9" s="124">
        <v>149.5</v>
      </c>
      <c r="S9" s="124">
        <v>150</v>
      </c>
      <c r="T9" s="124">
        <v>151.30000000000001</v>
      </c>
      <c r="U9" s="124">
        <v>152.9</v>
      </c>
      <c r="V9" s="124">
        <v>154.1</v>
      </c>
      <c r="W9" s="124">
        <v>155</v>
      </c>
      <c r="X9" s="124">
        <v>156.5</v>
      </c>
      <c r="Y9" s="124">
        <v>160.30000000000001</v>
      </c>
      <c r="Z9" s="124">
        <v>163.5</v>
      </c>
      <c r="AA9" s="124">
        <v>165.2</v>
      </c>
      <c r="AB9" s="124">
        <v>167.4</v>
      </c>
      <c r="AC9" s="124">
        <v>169.2</v>
      </c>
      <c r="AD9" s="124">
        <v>173.8</v>
      </c>
      <c r="AE9" s="124">
        <v>174.4</v>
      </c>
      <c r="AF9" s="124">
        <v>174.4</v>
      </c>
    </row>
    <row r="10" spans="1:32" x14ac:dyDescent="0.3">
      <c r="A10" s="164" t="s">
        <v>4</v>
      </c>
      <c r="B10" s="164" t="s">
        <v>66</v>
      </c>
      <c r="C10" s="124" t="s">
        <v>34</v>
      </c>
      <c r="D10" s="163">
        <f>CORREL($E$10:$AF$10,$E$5:$AF$5)</f>
        <v>0.83598749729266875</v>
      </c>
      <c r="E10" s="124">
        <v>191</v>
      </c>
      <c r="F10" s="124">
        <v>190.1</v>
      </c>
      <c r="G10" s="124">
        <v>186.5</v>
      </c>
      <c r="H10" s="124">
        <v>192.2</v>
      </c>
      <c r="I10" s="124">
        <v>198</v>
      </c>
      <c r="J10" s="124">
        <v>200.5</v>
      </c>
      <c r="K10" s="124">
        <v>202</v>
      </c>
      <c r="L10" s="124">
        <v>206.8</v>
      </c>
      <c r="M10" s="124">
        <v>204</v>
      </c>
      <c r="N10" s="124">
        <v>204</v>
      </c>
      <c r="O10" s="124">
        <v>204.6</v>
      </c>
      <c r="P10" s="124">
        <v>201.6</v>
      </c>
      <c r="Q10" s="124">
        <v>198.8</v>
      </c>
      <c r="R10" s="124">
        <v>198.7</v>
      </c>
      <c r="S10" s="124">
        <v>200.6</v>
      </c>
      <c r="T10" s="124">
        <v>210.7</v>
      </c>
      <c r="U10" s="124">
        <v>211.8</v>
      </c>
      <c r="V10" s="124">
        <v>217</v>
      </c>
      <c r="W10" s="124">
        <v>219.4</v>
      </c>
      <c r="X10" s="124">
        <v>213</v>
      </c>
      <c r="Y10" s="124">
        <v>206.5</v>
      </c>
      <c r="Z10" s="124">
        <v>209.2</v>
      </c>
      <c r="AA10" s="124">
        <v>210.9</v>
      </c>
      <c r="AB10" s="124">
        <v>209.4</v>
      </c>
      <c r="AC10" s="124">
        <v>209</v>
      </c>
      <c r="AD10" s="124">
        <v>210.7</v>
      </c>
      <c r="AE10" s="124">
        <v>207.7</v>
      </c>
      <c r="AF10" s="124">
        <v>207.7</v>
      </c>
    </row>
    <row r="11" spans="1:32" x14ac:dyDescent="0.3">
      <c r="A11" s="164" t="s">
        <v>5</v>
      </c>
      <c r="B11" s="164" t="s">
        <v>66</v>
      </c>
      <c r="C11" s="124" t="s">
        <v>34</v>
      </c>
      <c r="D11" s="162">
        <f>CORREL(E$11:AF$11,$E$5:$AF$5)</f>
        <v>-0.18908169545002321</v>
      </c>
      <c r="E11" s="124">
        <v>175.3</v>
      </c>
      <c r="F11" s="124">
        <v>175.3</v>
      </c>
      <c r="G11" s="124">
        <v>168.7</v>
      </c>
      <c r="H11" s="124">
        <v>163.80000000000001</v>
      </c>
      <c r="I11" s="124">
        <v>164.6</v>
      </c>
      <c r="J11" s="124">
        <v>170.3</v>
      </c>
      <c r="K11" s="124">
        <v>180.7</v>
      </c>
      <c r="L11" s="124">
        <v>182.2</v>
      </c>
      <c r="M11" s="124">
        <v>172.8</v>
      </c>
      <c r="N11" s="124">
        <v>172.8</v>
      </c>
      <c r="O11" s="124">
        <v>171.2</v>
      </c>
      <c r="P11" s="124">
        <v>173</v>
      </c>
      <c r="Q11" s="124">
        <v>177.9</v>
      </c>
      <c r="R11" s="124">
        <v>178.8</v>
      </c>
      <c r="S11" s="124">
        <v>175.8</v>
      </c>
      <c r="T11" s="124">
        <v>167.8</v>
      </c>
      <c r="U11" s="124">
        <v>164.5</v>
      </c>
      <c r="V11" s="124">
        <v>162.4</v>
      </c>
      <c r="W11" s="124">
        <v>170.8</v>
      </c>
      <c r="X11" s="124">
        <v>175.2</v>
      </c>
      <c r="Y11" s="124">
        <v>169.2</v>
      </c>
      <c r="Z11" s="124">
        <v>169.7</v>
      </c>
      <c r="AA11" s="124">
        <v>170.9</v>
      </c>
      <c r="AB11" s="124">
        <v>181.4</v>
      </c>
      <c r="AC11" s="124">
        <v>190.2</v>
      </c>
      <c r="AD11" s="124">
        <v>194.5</v>
      </c>
      <c r="AE11" s="124">
        <v>175.2</v>
      </c>
      <c r="AF11" s="124">
        <v>175.2</v>
      </c>
    </row>
    <row r="12" spans="1:32" x14ac:dyDescent="0.3">
      <c r="A12" s="164" t="s">
        <v>6</v>
      </c>
      <c r="B12" s="164" t="s">
        <v>66</v>
      </c>
      <c r="C12" s="124" t="s">
        <v>34</v>
      </c>
      <c r="D12" s="162">
        <f>CORREL($E$12:$AF$12,$E$5:$AF$5)</f>
        <v>0.49054554470049516</v>
      </c>
      <c r="E12" s="124">
        <v>154.1</v>
      </c>
      <c r="F12" s="124">
        <v>154.1</v>
      </c>
      <c r="G12" s="124">
        <v>154.69999999999999</v>
      </c>
      <c r="H12" s="124">
        <v>154.9</v>
      </c>
      <c r="I12" s="124">
        <v>155.4</v>
      </c>
      <c r="J12" s="124">
        <v>156.1</v>
      </c>
      <c r="K12" s="124">
        <v>156.19999999999999</v>
      </c>
      <c r="L12" s="124">
        <v>157.5</v>
      </c>
      <c r="M12" s="124">
        <v>158.4</v>
      </c>
      <c r="N12" s="124">
        <v>158.4</v>
      </c>
      <c r="O12" s="124">
        <v>158.69999999999999</v>
      </c>
      <c r="P12" s="124">
        <v>159.30000000000001</v>
      </c>
      <c r="Q12" s="124">
        <v>159.9</v>
      </c>
      <c r="R12" s="124">
        <v>160.5</v>
      </c>
      <c r="S12" s="124">
        <v>160.69999999999999</v>
      </c>
      <c r="T12" s="124">
        <v>162.19999999999999</v>
      </c>
      <c r="U12" s="124">
        <v>163.9</v>
      </c>
      <c r="V12" s="124">
        <v>164.9</v>
      </c>
      <c r="W12" s="124">
        <v>165.8</v>
      </c>
      <c r="X12" s="124">
        <v>166.6</v>
      </c>
      <c r="Y12" s="124">
        <v>168.1</v>
      </c>
      <c r="Z12" s="124">
        <v>169.7</v>
      </c>
      <c r="AA12" s="124">
        <v>170.9</v>
      </c>
      <c r="AB12" s="124">
        <v>172.3</v>
      </c>
      <c r="AC12" s="124">
        <v>173.6</v>
      </c>
      <c r="AD12" s="124">
        <v>174.6</v>
      </c>
      <c r="AE12" s="124">
        <v>177.3</v>
      </c>
      <c r="AF12" s="124">
        <v>177.3</v>
      </c>
    </row>
    <row r="13" spans="1:32" x14ac:dyDescent="0.3">
      <c r="A13" s="164" t="s">
        <v>7</v>
      </c>
      <c r="B13" s="164" t="s">
        <v>66</v>
      </c>
      <c r="C13" s="124" t="s">
        <v>34</v>
      </c>
      <c r="D13" s="162">
        <f>CORREL(E13:AF13,$E$5:$AF$5)</f>
        <v>0.84422772692376136</v>
      </c>
      <c r="E13" s="124">
        <v>146.6</v>
      </c>
      <c r="F13" s="124">
        <v>150.9</v>
      </c>
      <c r="G13" s="124">
        <v>158.69999999999999</v>
      </c>
      <c r="H13" s="124">
        <v>163.9</v>
      </c>
      <c r="I13" s="124">
        <v>170.1</v>
      </c>
      <c r="J13" s="124">
        <v>178.7</v>
      </c>
      <c r="K13" s="124">
        <v>183.7</v>
      </c>
      <c r="L13" s="124">
        <v>182.1</v>
      </c>
      <c r="M13" s="124">
        <v>188</v>
      </c>
      <c r="N13" s="124">
        <v>188</v>
      </c>
      <c r="O13" s="124">
        <v>190.6</v>
      </c>
      <c r="P13" s="124">
        <v>190.1</v>
      </c>
      <c r="Q13" s="124">
        <v>187.6</v>
      </c>
      <c r="R13" s="124">
        <v>184.7</v>
      </c>
      <c r="S13" s="124">
        <v>184.9</v>
      </c>
      <c r="T13" s="124">
        <v>194.6</v>
      </c>
      <c r="U13" s="124">
        <v>199.5</v>
      </c>
      <c r="V13" s="124">
        <v>202.4</v>
      </c>
      <c r="W13" s="124">
        <v>200.9</v>
      </c>
      <c r="X13" s="124">
        <v>195.8</v>
      </c>
      <c r="Y13" s="124">
        <v>192.4</v>
      </c>
      <c r="Z13" s="124">
        <v>188.7</v>
      </c>
      <c r="AA13" s="124">
        <v>186.5</v>
      </c>
      <c r="AB13" s="124">
        <v>188.9</v>
      </c>
      <c r="AC13" s="124">
        <v>188.5</v>
      </c>
      <c r="AD13" s="124">
        <v>187.2</v>
      </c>
      <c r="AE13" s="124">
        <v>179.3</v>
      </c>
      <c r="AF13" s="124">
        <v>179.2</v>
      </c>
    </row>
    <row r="14" spans="1:32" x14ac:dyDescent="0.3">
      <c r="A14" s="164" t="s">
        <v>8</v>
      </c>
      <c r="B14" s="164" t="s">
        <v>66</v>
      </c>
      <c r="C14" s="124" t="s">
        <v>34</v>
      </c>
      <c r="D14" s="162">
        <f t="shared" ref="D14:D35" si="0">CORREL(E14:AF14,$E$5:$AF$5)</f>
        <v>0.6037698236126493</v>
      </c>
      <c r="E14" s="124">
        <v>147.69999999999999</v>
      </c>
      <c r="F14" s="124">
        <v>149.6</v>
      </c>
      <c r="G14" s="124">
        <v>150.69999999999999</v>
      </c>
      <c r="H14" s="124">
        <v>153.69999999999999</v>
      </c>
      <c r="I14" s="124">
        <v>164.4</v>
      </c>
      <c r="J14" s="124">
        <v>167.1</v>
      </c>
      <c r="K14" s="124">
        <v>164.6</v>
      </c>
      <c r="L14" s="124">
        <v>163.9</v>
      </c>
      <c r="M14" s="124">
        <v>156.80000000000001</v>
      </c>
      <c r="N14" s="124">
        <v>156.69999999999999</v>
      </c>
      <c r="O14" s="124">
        <v>155.69999999999999</v>
      </c>
      <c r="P14" s="124">
        <v>156.5</v>
      </c>
      <c r="Q14" s="124">
        <v>154.9</v>
      </c>
      <c r="R14" s="124">
        <v>153.69999999999999</v>
      </c>
      <c r="S14" s="124">
        <v>153.69999999999999</v>
      </c>
      <c r="T14" s="124">
        <v>157.6</v>
      </c>
      <c r="U14" s="124">
        <v>172.6</v>
      </c>
      <c r="V14" s="124">
        <v>171</v>
      </c>
      <c r="W14" s="124">
        <v>169.7</v>
      </c>
      <c r="X14" s="124">
        <v>174.2</v>
      </c>
      <c r="Y14" s="124">
        <v>172.9</v>
      </c>
      <c r="Z14" s="124">
        <v>165.7</v>
      </c>
      <c r="AA14" s="124">
        <v>163.80000000000001</v>
      </c>
      <c r="AB14" s="124">
        <v>160.69999999999999</v>
      </c>
      <c r="AC14" s="124">
        <v>158</v>
      </c>
      <c r="AD14" s="124">
        <v>158.30000000000001</v>
      </c>
      <c r="AE14" s="124">
        <v>169.5</v>
      </c>
      <c r="AF14" s="124">
        <v>169.5</v>
      </c>
    </row>
    <row r="15" spans="1:32" x14ac:dyDescent="0.3">
      <c r="A15" s="164" t="s">
        <v>9</v>
      </c>
      <c r="B15" s="164" t="s">
        <v>66</v>
      </c>
      <c r="C15" s="124" t="s">
        <v>34</v>
      </c>
      <c r="D15" s="162">
        <f t="shared" si="0"/>
        <v>5.5923122604334866E-2</v>
      </c>
      <c r="E15" s="124">
        <v>230.5</v>
      </c>
      <c r="F15" s="124">
        <v>194.2</v>
      </c>
      <c r="G15" s="124">
        <v>160</v>
      </c>
      <c r="H15" s="124">
        <v>149.5</v>
      </c>
      <c r="I15" s="124">
        <v>144.1</v>
      </c>
      <c r="J15" s="124">
        <v>147.9</v>
      </c>
      <c r="K15" s="124">
        <v>155.4</v>
      </c>
      <c r="L15" s="124">
        <v>164.2</v>
      </c>
      <c r="M15" s="124">
        <v>162.19999999999999</v>
      </c>
      <c r="N15" s="124">
        <v>162.30000000000001</v>
      </c>
      <c r="O15" s="124">
        <v>185.3</v>
      </c>
      <c r="P15" s="124">
        <v>199.2</v>
      </c>
      <c r="Q15" s="124">
        <v>188.3</v>
      </c>
      <c r="R15" s="124">
        <v>174.3</v>
      </c>
      <c r="S15" s="124">
        <v>169.7</v>
      </c>
      <c r="T15" s="124">
        <v>166.9</v>
      </c>
      <c r="U15" s="124">
        <v>166.2</v>
      </c>
      <c r="V15" s="124">
        <v>174.9</v>
      </c>
      <c r="W15" s="124">
        <v>182.3</v>
      </c>
      <c r="X15" s="124">
        <v>182.1</v>
      </c>
      <c r="Y15" s="124">
        <v>186.7</v>
      </c>
      <c r="Z15" s="124">
        <v>191.8</v>
      </c>
      <c r="AA15" s="124">
        <v>199.7</v>
      </c>
      <c r="AB15" s="124">
        <v>183.1</v>
      </c>
      <c r="AC15" s="124">
        <v>159.9</v>
      </c>
      <c r="AD15" s="124">
        <v>153.9</v>
      </c>
      <c r="AE15" s="124">
        <v>152.69999999999999</v>
      </c>
      <c r="AF15" s="124">
        <v>152.80000000000001</v>
      </c>
    </row>
    <row r="16" spans="1:32" x14ac:dyDescent="0.3">
      <c r="A16" s="164" t="s">
        <v>10</v>
      </c>
      <c r="B16" s="164" t="s">
        <v>66</v>
      </c>
      <c r="C16" s="124" t="s">
        <v>34</v>
      </c>
      <c r="D16" s="162">
        <f t="shared" si="0"/>
        <v>0.34068109477860192</v>
      </c>
      <c r="E16" s="124">
        <v>160.19999999999999</v>
      </c>
      <c r="F16" s="124">
        <v>160.4</v>
      </c>
      <c r="G16" s="124">
        <v>158.80000000000001</v>
      </c>
      <c r="H16" s="124">
        <v>159.80000000000001</v>
      </c>
      <c r="I16" s="124">
        <v>161.69999999999999</v>
      </c>
      <c r="J16" s="124">
        <v>165.4</v>
      </c>
      <c r="K16" s="124">
        <v>166</v>
      </c>
      <c r="L16" s="124">
        <v>164</v>
      </c>
      <c r="M16" s="124">
        <v>164.1</v>
      </c>
      <c r="N16" s="124">
        <v>164.1</v>
      </c>
      <c r="O16" s="124">
        <v>165.2</v>
      </c>
      <c r="P16" s="124">
        <v>165.3</v>
      </c>
      <c r="Q16" s="124">
        <v>164.4</v>
      </c>
      <c r="R16" s="124">
        <v>163.9</v>
      </c>
      <c r="S16" s="124">
        <v>163.69999999999999</v>
      </c>
      <c r="T16" s="124">
        <v>163.9</v>
      </c>
      <c r="U16" s="124">
        <v>164.7</v>
      </c>
      <c r="V16" s="124">
        <v>164.7</v>
      </c>
      <c r="W16" s="124">
        <v>164.3</v>
      </c>
      <c r="X16" s="124">
        <v>164.3</v>
      </c>
      <c r="Y16" s="124">
        <v>167.2</v>
      </c>
      <c r="Z16" s="124">
        <v>169.1</v>
      </c>
      <c r="AA16" s="124">
        <v>169.8</v>
      </c>
      <c r="AB16" s="124">
        <v>170.5</v>
      </c>
      <c r="AC16" s="124">
        <v>170.8</v>
      </c>
      <c r="AD16" s="124">
        <v>170.9</v>
      </c>
      <c r="AE16" s="124">
        <v>171</v>
      </c>
      <c r="AF16" s="124">
        <v>171.1</v>
      </c>
    </row>
    <row r="17" spans="1:32" x14ac:dyDescent="0.3">
      <c r="A17" s="164" t="s">
        <v>11</v>
      </c>
      <c r="B17" s="164" t="s">
        <v>66</v>
      </c>
      <c r="C17" s="124" t="s">
        <v>34</v>
      </c>
      <c r="D17" s="162">
        <f t="shared" si="0"/>
        <v>0.57331528370969742</v>
      </c>
      <c r="E17" s="124">
        <v>115.3</v>
      </c>
      <c r="F17" s="124">
        <v>114.6</v>
      </c>
      <c r="G17" s="124">
        <v>112.8</v>
      </c>
      <c r="H17" s="124">
        <v>112.6</v>
      </c>
      <c r="I17" s="124">
        <v>113.1</v>
      </c>
      <c r="J17" s="124">
        <v>114.8</v>
      </c>
      <c r="K17" s="124">
        <v>115.1</v>
      </c>
      <c r="L17" s="124">
        <v>114.5</v>
      </c>
      <c r="M17" s="124">
        <v>119.7</v>
      </c>
      <c r="N17" s="124">
        <v>119.7</v>
      </c>
      <c r="O17" s="124">
        <v>121.9</v>
      </c>
      <c r="P17" s="124">
        <v>122.4</v>
      </c>
      <c r="Q17" s="124">
        <v>121</v>
      </c>
      <c r="R17" s="124">
        <v>120</v>
      </c>
      <c r="S17" s="124">
        <v>118.9</v>
      </c>
      <c r="T17" s="124">
        <v>118.8</v>
      </c>
      <c r="U17" s="124">
        <v>119</v>
      </c>
      <c r="V17" s="124">
        <v>119.7</v>
      </c>
      <c r="W17" s="124">
        <v>119.9</v>
      </c>
      <c r="X17" s="124">
        <v>120</v>
      </c>
      <c r="Y17" s="124">
        <v>120.9</v>
      </c>
      <c r="Z17" s="124">
        <v>121.6</v>
      </c>
      <c r="AA17" s="124">
        <v>121.9</v>
      </c>
      <c r="AB17" s="124">
        <v>122.1</v>
      </c>
      <c r="AC17" s="124">
        <v>121.8</v>
      </c>
      <c r="AD17" s="124">
        <v>121.1</v>
      </c>
      <c r="AE17" s="124">
        <v>120</v>
      </c>
      <c r="AF17" s="124">
        <v>120</v>
      </c>
    </row>
    <row r="18" spans="1:32" x14ac:dyDescent="0.3">
      <c r="A18" s="164" t="s">
        <v>12</v>
      </c>
      <c r="B18" s="164" t="s">
        <v>66</v>
      </c>
      <c r="C18" s="124" t="s">
        <v>34</v>
      </c>
      <c r="D18" s="162">
        <f t="shared" si="0"/>
        <v>0.46693302033217438</v>
      </c>
      <c r="E18" s="124">
        <v>163</v>
      </c>
      <c r="F18" s="124">
        <v>164</v>
      </c>
      <c r="G18" s="124">
        <v>164.2</v>
      </c>
      <c r="H18" s="124">
        <v>163.5</v>
      </c>
      <c r="I18" s="124">
        <v>163.9</v>
      </c>
      <c r="J18" s="124">
        <v>168.2</v>
      </c>
      <c r="K18" s="124">
        <v>168.5</v>
      </c>
      <c r="L18" s="124">
        <v>168.3</v>
      </c>
      <c r="M18" s="124">
        <v>168.8</v>
      </c>
      <c r="N18" s="124">
        <v>168.8</v>
      </c>
      <c r="O18" s="124">
        <v>169.3</v>
      </c>
      <c r="P18" s="124">
        <v>169.6</v>
      </c>
      <c r="Q18" s="124">
        <v>170.5</v>
      </c>
      <c r="R18" s="124">
        <v>172.1</v>
      </c>
      <c r="S18" s="124">
        <v>174.3</v>
      </c>
      <c r="T18" s="124">
        <v>177.4</v>
      </c>
      <c r="U18" s="124">
        <v>181.3</v>
      </c>
      <c r="V18" s="124">
        <v>184.9</v>
      </c>
      <c r="W18" s="124">
        <v>187.1</v>
      </c>
      <c r="X18" s="124">
        <v>190</v>
      </c>
      <c r="Y18" s="124">
        <v>193.6</v>
      </c>
      <c r="Z18" s="124">
        <v>197.3</v>
      </c>
      <c r="AA18" s="124">
        <v>199.9</v>
      </c>
      <c r="AB18" s="124">
        <v>202.8</v>
      </c>
      <c r="AC18" s="124">
        <v>205.2</v>
      </c>
      <c r="AD18" s="124">
        <v>208.4</v>
      </c>
      <c r="AE18" s="124">
        <v>209.7</v>
      </c>
      <c r="AF18" s="124">
        <v>209.7</v>
      </c>
    </row>
    <row r="19" spans="1:32" x14ac:dyDescent="0.3">
      <c r="A19" s="164" t="s">
        <v>13</v>
      </c>
      <c r="B19" s="164" t="s">
        <v>67</v>
      </c>
      <c r="C19" s="124" t="s">
        <v>34</v>
      </c>
      <c r="D19" s="162">
        <f t="shared" si="0"/>
        <v>0.69006812063410328</v>
      </c>
      <c r="E19" s="124">
        <v>149.19999999999999</v>
      </c>
      <c r="F19" s="124">
        <v>151.80000000000001</v>
      </c>
      <c r="G19" s="124">
        <v>155.5</v>
      </c>
      <c r="H19" s="124">
        <v>156.5</v>
      </c>
      <c r="I19" s="124">
        <v>157.6</v>
      </c>
      <c r="J19" s="124">
        <v>159.30000000000001</v>
      </c>
      <c r="K19" s="124">
        <v>160</v>
      </c>
      <c r="L19" s="124">
        <v>160.9</v>
      </c>
      <c r="M19" s="124">
        <v>162.69999999999999</v>
      </c>
      <c r="N19" s="124">
        <v>162.69999999999999</v>
      </c>
      <c r="O19" s="124">
        <v>163.19999999999999</v>
      </c>
      <c r="P19" s="124">
        <v>163.69999999999999</v>
      </c>
      <c r="Q19" s="124">
        <v>164.2</v>
      </c>
      <c r="R19" s="124">
        <v>164.3</v>
      </c>
      <c r="S19" s="124">
        <v>164.7</v>
      </c>
      <c r="T19" s="124">
        <v>165.3</v>
      </c>
      <c r="U19" s="124">
        <v>166.2</v>
      </c>
      <c r="V19" s="124">
        <v>167.1</v>
      </c>
      <c r="W19" s="124">
        <v>167.9</v>
      </c>
      <c r="X19" s="124">
        <v>168.4</v>
      </c>
      <c r="Y19" s="124">
        <v>168.8</v>
      </c>
      <c r="Z19" s="124">
        <v>169.4</v>
      </c>
      <c r="AA19" s="124">
        <v>169.9</v>
      </c>
      <c r="AB19" s="124">
        <v>170.4</v>
      </c>
      <c r="AC19" s="124">
        <v>171</v>
      </c>
      <c r="AD19" s="124">
        <v>171.4</v>
      </c>
      <c r="AE19" s="124">
        <v>172.3</v>
      </c>
      <c r="AF19" s="124">
        <v>172.3</v>
      </c>
    </row>
    <row r="20" spans="1:32" x14ac:dyDescent="0.3">
      <c r="A20" s="164" t="s">
        <v>14</v>
      </c>
      <c r="B20" s="164" t="s">
        <v>66</v>
      </c>
      <c r="C20" s="124" t="s">
        <v>34</v>
      </c>
      <c r="D20" s="162">
        <f t="shared" si="0"/>
        <v>0.61390514483714831</v>
      </c>
      <c r="E20" s="124">
        <v>164.8</v>
      </c>
      <c r="F20" s="124">
        <v>165.6</v>
      </c>
      <c r="G20" s="124">
        <v>167.5</v>
      </c>
      <c r="H20" s="124">
        <v>168.2</v>
      </c>
      <c r="I20" s="124">
        <v>168.9</v>
      </c>
      <c r="J20" s="124">
        <v>170.4</v>
      </c>
      <c r="K20" s="124">
        <v>172.4</v>
      </c>
      <c r="L20" s="124">
        <v>172.2</v>
      </c>
      <c r="M20" s="124">
        <v>173.9</v>
      </c>
      <c r="N20" s="124">
        <v>173.9</v>
      </c>
      <c r="O20" s="124">
        <v>174.7</v>
      </c>
      <c r="P20" s="124">
        <v>175.5</v>
      </c>
      <c r="Q20" s="124">
        <v>176.5</v>
      </c>
      <c r="R20" s="124">
        <v>177.3</v>
      </c>
      <c r="S20" s="124">
        <v>178</v>
      </c>
      <c r="T20" s="124">
        <v>179.3</v>
      </c>
      <c r="U20" s="124">
        <v>180.9</v>
      </c>
      <c r="V20" s="124">
        <v>182.5</v>
      </c>
      <c r="W20" s="124">
        <v>183.9</v>
      </c>
      <c r="X20" s="124">
        <v>185.2</v>
      </c>
      <c r="Y20" s="124">
        <v>186.3</v>
      </c>
      <c r="Z20" s="124">
        <v>187.4</v>
      </c>
      <c r="AA20" s="124">
        <v>188.3</v>
      </c>
      <c r="AB20" s="124">
        <v>189.5</v>
      </c>
      <c r="AC20" s="124">
        <v>190.3</v>
      </c>
      <c r="AD20" s="124">
        <v>191.2</v>
      </c>
      <c r="AE20" s="124">
        <v>193</v>
      </c>
      <c r="AF20" s="124">
        <v>193</v>
      </c>
    </row>
    <row r="21" spans="1:32" x14ac:dyDescent="0.3">
      <c r="A21" s="164" t="s">
        <v>15</v>
      </c>
      <c r="B21" s="164" t="s">
        <v>66</v>
      </c>
      <c r="C21" s="124" t="s">
        <v>34</v>
      </c>
      <c r="D21" s="162">
        <f t="shared" si="0"/>
        <v>0.6261176035590954</v>
      </c>
      <c r="E21" s="124">
        <v>165.4</v>
      </c>
      <c r="F21" s="124">
        <v>161</v>
      </c>
      <c r="G21" s="124">
        <v>156.9</v>
      </c>
      <c r="H21" s="124">
        <v>156.69999999999999</v>
      </c>
      <c r="I21" s="124">
        <v>158</v>
      </c>
      <c r="J21" s="124">
        <v>160.69999999999999</v>
      </c>
      <c r="K21" s="124">
        <v>162.6</v>
      </c>
      <c r="L21" s="124">
        <v>164</v>
      </c>
      <c r="M21" s="124">
        <v>164</v>
      </c>
      <c r="N21" s="124">
        <v>164</v>
      </c>
      <c r="O21" s="124">
        <v>167.7</v>
      </c>
      <c r="P21" s="124">
        <v>169.7</v>
      </c>
      <c r="Q21" s="124">
        <v>168.2</v>
      </c>
      <c r="R21" s="124">
        <v>166.4</v>
      </c>
      <c r="S21" s="124">
        <v>166.2</v>
      </c>
      <c r="T21" s="124">
        <v>168.4</v>
      </c>
      <c r="U21" s="124">
        <v>170.8</v>
      </c>
      <c r="V21" s="124">
        <v>173.3</v>
      </c>
      <c r="W21" s="124">
        <v>174.9</v>
      </c>
      <c r="X21" s="124">
        <v>175</v>
      </c>
      <c r="Y21" s="124">
        <v>176.3</v>
      </c>
      <c r="Z21" s="124">
        <v>177.8</v>
      </c>
      <c r="AA21" s="124">
        <v>179.6</v>
      </c>
      <c r="AB21" s="124">
        <v>178.3</v>
      </c>
      <c r="AC21" s="124">
        <v>175.9</v>
      </c>
      <c r="AD21" s="124">
        <v>176.7</v>
      </c>
      <c r="AE21" s="124">
        <v>177</v>
      </c>
      <c r="AF21" s="124">
        <v>177</v>
      </c>
    </row>
    <row r="22" spans="1:32" x14ac:dyDescent="0.3">
      <c r="A22" s="164" t="s">
        <v>16</v>
      </c>
      <c r="B22" s="164" t="s">
        <v>67</v>
      </c>
      <c r="C22" s="124" t="s">
        <v>34</v>
      </c>
      <c r="D22" s="162">
        <f t="shared" si="0"/>
        <v>0.58049367771424443</v>
      </c>
      <c r="E22" s="124">
        <v>185.4</v>
      </c>
      <c r="F22" s="124">
        <v>186.5</v>
      </c>
      <c r="G22" s="124">
        <v>188.3</v>
      </c>
      <c r="H22" s="124">
        <v>188.1</v>
      </c>
      <c r="I22" s="124">
        <v>188.8</v>
      </c>
      <c r="J22" s="124">
        <v>191.9</v>
      </c>
      <c r="K22" s="124">
        <v>190.8</v>
      </c>
      <c r="L22" s="124">
        <v>191.2</v>
      </c>
      <c r="M22" s="124">
        <v>192.1</v>
      </c>
      <c r="N22" s="124">
        <v>192.1</v>
      </c>
      <c r="O22" s="124">
        <v>192.7</v>
      </c>
      <c r="P22" s="124">
        <v>192.9</v>
      </c>
      <c r="Q22" s="124">
        <v>192.4</v>
      </c>
      <c r="R22" s="124">
        <v>192.2</v>
      </c>
      <c r="S22" s="124">
        <v>192.8</v>
      </c>
      <c r="T22" s="124">
        <v>193.7</v>
      </c>
      <c r="U22" s="124">
        <v>193.9</v>
      </c>
      <c r="V22" s="124">
        <v>194.1</v>
      </c>
      <c r="W22" s="124">
        <v>194.3</v>
      </c>
      <c r="X22" s="124">
        <v>194.6</v>
      </c>
      <c r="Y22" s="124">
        <v>195</v>
      </c>
      <c r="Z22" s="124">
        <v>195.9</v>
      </c>
      <c r="AA22" s="124">
        <v>196.3</v>
      </c>
      <c r="AB22" s="124">
        <v>196.9</v>
      </c>
      <c r="AC22" s="124">
        <v>197.3</v>
      </c>
      <c r="AD22" s="124">
        <v>198.2</v>
      </c>
      <c r="AE22" s="124">
        <v>199.5</v>
      </c>
      <c r="AF22" s="124">
        <v>199.5</v>
      </c>
    </row>
    <row r="23" spans="1:32" x14ac:dyDescent="0.3">
      <c r="A23" s="164" t="s">
        <v>17</v>
      </c>
      <c r="B23" s="164" t="s">
        <v>17</v>
      </c>
      <c r="C23" s="124" t="s">
        <v>34</v>
      </c>
      <c r="D23" s="162">
        <f t="shared" si="0"/>
        <v>0.63999596542419057</v>
      </c>
      <c r="E23" s="124">
        <v>155</v>
      </c>
      <c r="F23" s="124">
        <v>155.5</v>
      </c>
      <c r="G23" s="124">
        <v>157.19999999999999</v>
      </c>
      <c r="H23" s="124">
        <v>157.80000000000001</v>
      </c>
      <c r="I23" s="124">
        <v>158.80000000000001</v>
      </c>
      <c r="J23" s="124">
        <v>161.80000000000001</v>
      </c>
      <c r="K23" s="124">
        <v>162.19999999999999</v>
      </c>
      <c r="L23" s="124">
        <v>162.80000000000001</v>
      </c>
      <c r="M23" s="124">
        <v>164.5</v>
      </c>
      <c r="N23" s="124">
        <v>164.6</v>
      </c>
      <c r="O23" s="124">
        <v>165.7</v>
      </c>
      <c r="P23" s="124">
        <v>167.2</v>
      </c>
      <c r="Q23" s="124">
        <v>168.5</v>
      </c>
      <c r="R23" s="124">
        <v>169.9</v>
      </c>
      <c r="S23" s="124">
        <v>170.8</v>
      </c>
      <c r="T23" s="124">
        <v>172.1</v>
      </c>
      <c r="U23" s="124">
        <v>173.9</v>
      </c>
      <c r="V23" s="124">
        <v>175.6</v>
      </c>
      <c r="W23" s="124">
        <v>177.1</v>
      </c>
      <c r="X23" s="124">
        <v>178.3</v>
      </c>
      <c r="Y23" s="124">
        <v>179.5</v>
      </c>
      <c r="Z23" s="124">
        <v>180.9</v>
      </c>
      <c r="AA23" s="124">
        <v>181.9</v>
      </c>
      <c r="AB23" s="124">
        <v>183.1</v>
      </c>
      <c r="AC23" s="124">
        <v>184</v>
      </c>
      <c r="AD23" s="124">
        <v>184.9</v>
      </c>
      <c r="AE23" s="124">
        <v>186.2</v>
      </c>
      <c r="AF23" s="124">
        <v>186.1</v>
      </c>
    </row>
    <row r="24" spans="1:32" x14ac:dyDescent="0.3">
      <c r="A24" s="164" t="s">
        <v>18</v>
      </c>
      <c r="B24" s="164" t="s">
        <v>17</v>
      </c>
      <c r="C24" s="124" t="s">
        <v>34</v>
      </c>
      <c r="D24" s="162">
        <f t="shared" si="0"/>
        <v>0.65743031343341085</v>
      </c>
      <c r="E24" s="124">
        <v>145.4</v>
      </c>
      <c r="F24" s="124">
        <v>146.1</v>
      </c>
      <c r="G24" s="124">
        <v>147.4</v>
      </c>
      <c r="H24" s="124">
        <v>147.9</v>
      </c>
      <c r="I24" s="124">
        <v>148.5</v>
      </c>
      <c r="J24" s="124">
        <v>152.1</v>
      </c>
      <c r="K24" s="124">
        <v>151.80000000000001</v>
      </c>
      <c r="L24" s="124">
        <v>153.1</v>
      </c>
      <c r="M24" s="124">
        <v>155.30000000000001</v>
      </c>
      <c r="N24" s="124">
        <v>155.30000000000001</v>
      </c>
      <c r="O24" s="124">
        <v>156.30000000000001</v>
      </c>
      <c r="P24" s="124">
        <v>157.4</v>
      </c>
      <c r="Q24" s="124">
        <v>158.69999999999999</v>
      </c>
      <c r="R24" s="124">
        <v>160.69999999999999</v>
      </c>
      <c r="S24" s="124">
        <v>162.4</v>
      </c>
      <c r="T24" s="124">
        <v>164.6</v>
      </c>
      <c r="U24" s="124">
        <v>166.5</v>
      </c>
      <c r="V24" s="124">
        <v>168.4</v>
      </c>
      <c r="W24" s="124">
        <v>169.9</v>
      </c>
      <c r="X24" s="124">
        <v>171.3</v>
      </c>
      <c r="Y24" s="124">
        <v>172.7</v>
      </c>
      <c r="Z24" s="124">
        <v>174.3</v>
      </c>
      <c r="AA24" s="124">
        <v>175.3</v>
      </c>
      <c r="AB24" s="124">
        <v>176.2</v>
      </c>
      <c r="AC24" s="124">
        <v>177</v>
      </c>
      <c r="AD24" s="124">
        <v>177.6</v>
      </c>
      <c r="AE24" s="124">
        <v>178.7</v>
      </c>
      <c r="AF24" s="124">
        <v>178.7</v>
      </c>
    </row>
    <row r="25" spans="1:32" x14ac:dyDescent="0.3">
      <c r="A25" s="164" t="s">
        <v>19</v>
      </c>
      <c r="B25" s="164" t="s">
        <v>17</v>
      </c>
      <c r="C25" s="124" t="s">
        <v>34</v>
      </c>
      <c r="D25" s="162">
        <f t="shared" si="0"/>
        <v>0.64290501356080954</v>
      </c>
      <c r="E25" s="124">
        <v>153.6</v>
      </c>
      <c r="F25" s="124">
        <v>154.19999999999999</v>
      </c>
      <c r="G25" s="124">
        <v>155.80000000000001</v>
      </c>
      <c r="H25" s="124">
        <v>156.4</v>
      </c>
      <c r="I25" s="124">
        <v>157.30000000000001</v>
      </c>
      <c r="J25" s="124">
        <v>160.4</v>
      </c>
      <c r="K25" s="124">
        <v>160.69999999999999</v>
      </c>
      <c r="L25" s="124">
        <v>161.4</v>
      </c>
      <c r="M25" s="124">
        <v>163.19999999999999</v>
      </c>
      <c r="N25" s="124">
        <v>163.30000000000001</v>
      </c>
      <c r="O25" s="124">
        <v>164.3</v>
      </c>
      <c r="P25" s="124">
        <v>165.8</v>
      </c>
      <c r="Q25" s="124">
        <v>167</v>
      </c>
      <c r="R25" s="124">
        <v>168.5</v>
      </c>
      <c r="S25" s="124">
        <v>169.6</v>
      </c>
      <c r="T25" s="124">
        <v>171.1</v>
      </c>
      <c r="U25" s="124">
        <v>172.8</v>
      </c>
      <c r="V25" s="124">
        <v>174.6</v>
      </c>
      <c r="W25" s="124">
        <v>176</v>
      </c>
      <c r="X25" s="124">
        <v>177.3</v>
      </c>
      <c r="Y25" s="124">
        <v>178.5</v>
      </c>
      <c r="Z25" s="124">
        <v>179.9</v>
      </c>
      <c r="AA25" s="124">
        <v>181</v>
      </c>
      <c r="AB25" s="124">
        <v>182.1</v>
      </c>
      <c r="AC25" s="124">
        <v>183</v>
      </c>
      <c r="AD25" s="124">
        <v>183.8</v>
      </c>
      <c r="AE25" s="124">
        <v>185.1</v>
      </c>
      <c r="AF25" s="124">
        <v>185.1</v>
      </c>
    </row>
    <row r="26" spans="1:32" x14ac:dyDescent="0.3">
      <c r="A26" s="164" t="s">
        <v>20</v>
      </c>
      <c r="B26" s="164" t="s">
        <v>20</v>
      </c>
      <c r="C26" s="124" t="s">
        <v>34</v>
      </c>
      <c r="D26" s="162">
        <f t="shared" si="0"/>
        <v>0.5806259009183079</v>
      </c>
      <c r="E26" s="124">
        <v>158.4</v>
      </c>
      <c r="F26" s="124">
        <v>157.69999999999999</v>
      </c>
      <c r="G26" s="124">
        <v>159.80000000000001</v>
      </c>
      <c r="H26" s="124">
        <v>159.9</v>
      </c>
      <c r="I26" s="124">
        <v>161.4</v>
      </c>
      <c r="J26" s="124">
        <v>161.6</v>
      </c>
      <c r="K26" s="124">
        <v>160.5</v>
      </c>
      <c r="L26" s="124">
        <v>161.5</v>
      </c>
      <c r="M26" s="124">
        <v>162.1</v>
      </c>
      <c r="N26" s="124">
        <v>162.1</v>
      </c>
      <c r="O26" s="124">
        <v>163.6</v>
      </c>
      <c r="P26" s="124">
        <v>164.2</v>
      </c>
      <c r="Q26" s="124">
        <v>163.4</v>
      </c>
      <c r="R26" s="124">
        <v>164.5</v>
      </c>
      <c r="S26" s="124">
        <v>165.5</v>
      </c>
      <c r="T26" s="124">
        <v>165.3</v>
      </c>
      <c r="U26" s="124">
        <v>167</v>
      </c>
      <c r="V26" s="124">
        <v>167.5</v>
      </c>
      <c r="W26" s="124">
        <v>166.8</v>
      </c>
      <c r="X26" s="124">
        <v>167.8</v>
      </c>
      <c r="Y26" s="124">
        <v>169</v>
      </c>
      <c r="Z26" s="124">
        <v>169.5</v>
      </c>
      <c r="AA26" s="124">
        <v>171.2</v>
      </c>
      <c r="AB26" s="124">
        <v>171.8</v>
      </c>
      <c r="AC26" s="124">
        <v>170.7</v>
      </c>
      <c r="AD26" s="124">
        <v>172.1</v>
      </c>
      <c r="AE26" s="124">
        <v>173.5</v>
      </c>
      <c r="AF26" s="124">
        <v>173.5</v>
      </c>
    </row>
    <row r="27" spans="1:32" x14ac:dyDescent="0.3">
      <c r="A27" s="164" t="s">
        <v>21</v>
      </c>
      <c r="B27" s="164" t="s">
        <v>68</v>
      </c>
      <c r="C27" s="124" t="s">
        <v>34</v>
      </c>
      <c r="D27" s="162">
        <f t="shared" si="0"/>
        <v>0.68314218184816078</v>
      </c>
      <c r="E27" s="124">
        <v>144.6</v>
      </c>
      <c r="F27" s="124">
        <v>147.9</v>
      </c>
      <c r="G27" s="124">
        <v>152.4</v>
      </c>
      <c r="H27" s="124">
        <v>155.5</v>
      </c>
      <c r="I27" s="124">
        <v>155.6</v>
      </c>
      <c r="J27" s="124">
        <v>159.4</v>
      </c>
      <c r="K27" s="124">
        <v>159.80000000000001</v>
      </c>
      <c r="L27" s="124">
        <v>160.69999999999999</v>
      </c>
      <c r="M27" s="124">
        <v>162.6</v>
      </c>
      <c r="N27" s="124">
        <v>162.6</v>
      </c>
      <c r="O27" s="124">
        <v>164.2</v>
      </c>
      <c r="P27" s="124">
        <v>163.9</v>
      </c>
      <c r="Q27" s="124">
        <v>164.1</v>
      </c>
      <c r="R27" s="124">
        <v>164.2</v>
      </c>
      <c r="S27" s="124">
        <v>165.7</v>
      </c>
      <c r="T27" s="124">
        <v>167.2</v>
      </c>
      <c r="U27" s="124">
        <v>172.2</v>
      </c>
      <c r="V27" s="124">
        <v>174.6</v>
      </c>
      <c r="W27" s="124">
        <v>176</v>
      </c>
      <c r="X27" s="124">
        <v>179.6</v>
      </c>
      <c r="Y27" s="124">
        <v>178.8</v>
      </c>
      <c r="Z27" s="124">
        <v>179.5</v>
      </c>
      <c r="AA27" s="124">
        <v>180.5</v>
      </c>
      <c r="AB27" s="124">
        <v>181.3</v>
      </c>
      <c r="AC27" s="124">
        <v>182</v>
      </c>
      <c r="AD27" s="124">
        <v>182</v>
      </c>
      <c r="AE27" s="124">
        <v>182.1</v>
      </c>
      <c r="AF27" s="124">
        <v>181.9</v>
      </c>
    </row>
    <row r="28" spans="1:32" x14ac:dyDescent="0.3">
      <c r="A28" s="164" t="s">
        <v>22</v>
      </c>
      <c r="B28" s="164" t="s">
        <v>20</v>
      </c>
      <c r="C28" s="124" t="s">
        <v>34</v>
      </c>
      <c r="D28" s="162">
        <f t="shared" si="0"/>
        <v>0.62840567323289453</v>
      </c>
      <c r="E28" s="124">
        <v>149.69999999999999</v>
      </c>
      <c r="F28" s="124">
        <v>150</v>
      </c>
      <c r="G28" s="124">
        <v>150.9</v>
      </c>
      <c r="H28" s="124">
        <v>151.19999999999999</v>
      </c>
      <c r="I28" s="124">
        <v>151.80000000000001</v>
      </c>
      <c r="J28" s="124">
        <v>154.69999999999999</v>
      </c>
      <c r="K28" s="124">
        <v>154.80000000000001</v>
      </c>
      <c r="L28" s="124">
        <v>155.80000000000001</v>
      </c>
      <c r="M28" s="124">
        <v>157.5</v>
      </c>
      <c r="N28" s="124">
        <v>157.5</v>
      </c>
      <c r="O28" s="124">
        <v>158.4</v>
      </c>
      <c r="P28" s="124">
        <v>159.30000000000001</v>
      </c>
      <c r="Q28" s="124">
        <v>160.19999999999999</v>
      </c>
      <c r="R28" s="124">
        <v>161.1</v>
      </c>
      <c r="S28" s="124">
        <v>161.80000000000001</v>
      </c>
      <c r="T28" s="124">
        <v>162.80000000000001</v>
      </c>
      <c r="U28" s="124">
        <v>164</v>
      </c>
      <c r="V28" s="124">
        <v>165.2</v>
      </c>
      <c r="W28" s="124">
        <v>166.4</v>
      </c>
      <c r="X28" s="124">
        <v>167.4</v>
      </c>
      <c r="Y28" s="124">
        <v>168.5</v>
      </c>
      <c r="Z28" s="124">
        <v>169.5</v>
      </c>
      <c r="AA28" s="124">
        <v>170.4</v>
      </c>
      <c r="AB28" s="124">
        <v>171.4</v>
      </c>
      <c r="AC28" s="124">
        <v>172.1</v>
      </c>
      <c r="AD28" s="124">
        <v>172.9</v>
      </c>
      <c r="AE28" s="124">
        <v>174.2</v>
      </c>
      <c r="AF28" s="124">
        <v>174.2</v>
      </c>
    </row>
    <row r="29" spans="1:32" x14ac:dyDescent="0.3">
      <c r="A29" s="164" t="s">
        <v>23</v>
      </c>
      <c r="B29" s="164" t="s">
        <v>23</v>
      </c>
      <c r="C29" s="124" t="s">
        <v>34</v>
      </c>
      <c r="D29" s="162">
        <f t="shared" si="0"/>
        <v>0.62234139728974092</v>
      </c>
      <c r="E29" s="124">
        <v>158.30000000000001</v>
      </c>
      <c r="F29" s="124">
        <v>159.30000000000001</v>
      </c>
      <c r="G29" s="124">
        <v>161.30000000000001</v>
      </c>
      <c r="H29" s="124">
        <v>161.69999999999999</v>
      </c>
      <c r="I29" s="124">
        <v>162.30000000000001</v>
      </c>
      <c r="J29" s="124">
        <v>165.8</v>
      </c>
      <c r="K29" s="124">
        <v>166.3</v>
      </c>
      <c r="L29" s="124">
        <v>167</v>
      </c>
      <c r="M29" s="124">
        <v>168.4</v>
      </c>
      <c r="N29" s="124">
        <v>168.4</v>
      </c>
      <c r="O29" s="124">
        <v>169.1</v>
      </c>
      <c r="P29" s="124">
        <v>169.9</v>
      </c>
      <c r="Q29" s="124">
        <v>170.6</v>
      </c>
      <c r="R29" s="124">
        <v>171.4</v>
      </c>
      <c r="S29" s="124">
        <v>172.2</v>
      </c>
      <c r="T29" s="124">
        <v>173</v>
      </c>
      <c r="U29" s="124">
        <v>174</v>
      </c>
      <c r="V29" s="124">
        <v>174.8</v>
      </c>
      <c r="W29" s="124">
        <v>175.4</v>
      </c>
      <c r="X29" s="124">
        <v>176.1</v>
      </c>
      <c r="Y29" s="124">
        <v>176.8</v>
      </c>
      <c r="Z29" s="124">
        <v>177.8</v>
      </c>
      <c r="AA29" s="124">
        <v>178.7</v>
      </c>
      <c r="AB29" s="124">
        <v>179.8</v>
      </c>
      <c r="AC29" s="124">
        <v>181.1</v>
      </c>
      <c r="AD29" s="124">
        <v>182.3</v>
      </c>
      <c r="AE29" s="124">
        <v>184.4</v>
      </c>
      <c r="AF29" s="124">
        <v>184.4</v>
      </c>
    </row>
    <row r="30" spans="1:32" x14ac:dyDescent="0.3">
      <c r="A30" s="164" t="s">
        <v>24</v>
      </c>
      <c r="B30" s="164" t="s">
        <v>68</v>
      </c>
      <c r="C30" s="124" t="s">
        <v>34</v>
      </c>
      <c r="D30" s="162">
        <f t="shared" si="0"/>
        <v>0.76576171271104876</v>
      </c>
      <c r="E30" s="124">
        <v>140.69999999999999</v>
      </c>
      <c r="F30" s="124">
        <v>141.9</v>
      </c>
      <c r="G30" s="124">
        <v>145.1</v>
      </c>
      <c r="H30" s="124">
        <v>146.19999999999999</v>
      </c>
      <c r="I30" s="124">
        <v>146.6</v>
      </c>
      <c r="J30" s="124">
        <v>148.9</v>
      </c>
      <c r="K30" s="124">
        <v>150.69999999999999</v>
      </c>
      <c r="L30" s="124">
        <v>153.1</v>
      </c>
      <c r="M30" s="124">
        <v>154</v>
      </c>
      <c r="N30" s="124">
        <v>154</v>
      </c>
      <c r="O30" s="124">
        <v>155.69999999999999</v>
      </c>
      <c r="P30" s="124">
        <v>154.80000000000001</v>
      </c>
      <c r="Q30" s="124">
        <v>155.69999999999999</v>
      </c>
      <c r="R30" s="124">
        <v>156.5</v>
      </c>
      <c r="S30" s="124">
        <v>156.9</v>
      </c>
      <c r="T30" s="124">
        <v>157.9</v>
      </c>
      <c r="U30" s="124">
        <v>162.6</v>
      </c>
      <c r="V30" s="124">
        <v>163</v>
      </c>
      <c r="W30" s="124">
        <v>161.1</v>
      </c>
      <c r="X30" s="124">
        <v>161.6</v>
      </c>
      <c r="Y30" s="124">
        <v>161.9</v>
      </c>
      <c r="Z30" s="124">
        <v>162.30000000000001</v>
      </c>
      <c r="AA30" s="124">
        <v>162.9</v>
      </c>
      <c r="AB30" s="124">
        <v>163</v>
      </c>
      <c r="AC30" s="124">
        <v>163.4</v>
      </c>
      <c r="AD30" s="124">
        <v>163.6</v>
      </c>
      <c r="AE30" s="124">
        <v>164.2</v>
      </c>
      <c r="AF30" s="124">
        <v>164.2</v>
      </c>
    </row>
    <row r="31" spans="1:32" x14ac:dyDescent="0.3">
      <c r="A31" s="164" t="s">
        <v>25</v>
      </c>
      <c r="B31" s="164" t="s">
        <v>67</v>
      </c>
      <c r="C31" s="124" t="s">
        <v>34</v>
      </c>
      <c r="D31" s="162">
        <f t="shared" si="0"/>
        <v>0.70780060439817627</v>
      </c>
      <c r="E31" s="124">
        <v>148.5</v>
      </c>
      <c r="F31" s="124">
        <v>149.6</v>
      </c>
      <c r="G31" s="124">
        <v>151.5</v>
      </c>
      <c r="H31" s="124">
        <v>152.6</v>
      </c>
      <c r="I31" s="124">
        <v>153.19999999999999</v>
      </c>
      <c r="J31" s="124">
        <v>155.80000000000001</v>
      </c>
      <c r="K31" s="124">
        <v>154.9</v>
      </c>
      <c r="L31" s="124">
        <v>155.30000000000001</v>
      </c>
      <c r="M31" s="124">
        <v>157.6</v>
      </c>
      <c r="N31" s="124">
        <v>157.69999999999999</v>
      </c>
      <c r="O31" s="124">
        <v>158.6</v>
      </c>
      <c r="P31" s="124">
        <v>159.80000000000001</v>
      </c>
      <c r="Q31" s="124">
        <v>160.6</v>
      </c>
      <c r="R31" s="124">
        <v>161.19999999999999</v>
      </c>
      <c r="S31" s="124">
        <v>162.1</v>
      </c>
      <c r="T31" s="124">
        <v>163.30000000000001</v>
      </c>
      <c r="U31" s="124">
        <v>164.4</v>
      </c>
      <c r="V31" s="124">
        <v>165.1</v>
      </c>
      <c r="W31" s="124">
        <v>165.8</v>
      </c>
      <c r="X31" s="124">
        <v>166.3</v>
      </c>
      <c r="Y31" s="124">
        <v>166.9</v>
      </c>
      <c r="Z31" s="124">
        <v>167.6</v>
      </c>
      <c r="AA31" s="124">
        <v>168.2</v>
      </c>
      <c r="AB31" s="124">
        <v>168.5</v>
      </c>
      <c r="AC31" s="124">
        <v>168.9</v>
      </c>
      <c r="AD31" s="124">
        <v>169.5</v>
      </c>
      <c r="AE31" s="124">
        <v>170.3</v>
      </c>
      <c r="AF31" s="124">
        <v>170.3</v>
      </c>
    </row>
    <row r="32" spans="1:32" x14ac:dyDescent="0.3">
      <c r="A32" s="164" t="s">
        <v>26</v>
      </c>
      <c r="B32" s="164" t="s">
        <v>26</v>
      </c>
      <c r="C32" s="124" t="s">
        <v>34</v>
      </c>
      <c r="D32" s="162">
        <f t="shared" si="0"/>
        <v>0.5653028282927226</v>
      </c>
      <c r="E32" s="124">
        <v>159.4</v>
      </c>
      <c r="F32" s="124">
        <v>159.19999999999999</v>
      </c>
      <c r="G32" s="124">
        <v>159.5</v>
      </c>
      <c r="H32" s="124">
        <v>160.19999999999999</v>
      </c>
      <c r="I32" s="124">
        <v>160.30000000000001</v>
      </c>
      <c r="J32" s="124">
        <v>161.19999999999999</v>
      </c>
      <c r="K32" s="124">
        <v>161.69999999999999</v>
      </c>
      <c r="L32" s="124">
        <v>163.19999999999999</v>
      </c>
      <c r="M32" s="124">
        <v>163.80000000000001</v>
      </c>
      <c r="N32" s="124">
        <v>163.69999999999999</v>
      </c>
      <c r="O32" s="124">
        <v>163.9</v>
      </c>
      <c r="P32" s="124">
        <v>164.3</v>
      </c>
      <c r="Q32" s="124">
        <v>164.4</v>
      </c>
      <c r="R32" s="124">
        <v>164.7</v>
      </c>
      <c r="S32" s="124">
        <v>165.4</v>
      </c>
      <c r="T32" s="124">
        <v>166</v>
      </c>
      <c r="U32" s="124">
        <v>166.9</v>
      </c>
      <c r="V32" s="124">
        <v>167.9</v>
      </c>
      <c r="W32" s="124">
        <v>169</v>
      </c>
      <c r="X32" s="124">
        <v>171.4</v>
      </c>
      <c r="Y32" s="124">
        <v>172.3</v>
      </c>
      <c r="Z32" s="124">
        <v>173.1</v>
      </c>
      <c r="AA32" s="124">
        <v>173.4</v>
      </c>
      <c r="AB32" s="124">
        <v>173.7</v>
      </c>
      <c r="AC32" s="124">
        <v>174.1</v>
      </c>
      <c r="AD32" s="124">
        <v>174.3</v>
      </c>
      <c r="AE32" s="124">
        <v>175</v>
      </c>
      <c r="AF32" s="124">
        <v>175</v>
      </c>
    </row>
    <row r="33" spans="1:32" x14ac:dyDescent="0.3">
      <c r="A33" s="164" t="s">
        <v>27</v>
      </c>
      <c r="B33" s="164" t="s">
        <v>68</v>
      </c>
      <c r="C33" s="124" t="s">
        <v>34</v>
      </c>
      <c r="D33" s="162">
        <f t="shared" si="0"/>
        <v>0.54573216251432155</v>
      </c>
      <c r="E33" s="124">
        <v>157.1</v>
      </c>
      <c r="F33" s="124">
        <v>156.80000000000001</v>
      </c>
      <c r="G33" s="124">
        <v>155.80000000000001</v>
      </c>
      <c r="H33" s="124">
        <v>153.80000000000001</v>
      </c>
      <c r="I33" s="124">
        <v>155.4</v>
      </c>
      <c r="J33" s="124">
        <v>158.6</v>
      </c>
      <c r="K33" s="124">
        <v>158.80000000000001</v>
      </c>
      <c r="L33" s="124">
        <v>160.1</v>
      </c>
      <c r="M33" s="124">
        <v>160</v>
      </c>
      <c r="N33" s="124">
        <v>160</v>
      </c>
      <c r="O33" s="124">
        <v>160.80000000000001</v>
      </c>
      <c r="P33" s="124">
        <v>162.19999999999999</v>
      </c>
      <c r="Q33" s="124">
        <v>162.6</v>
      </c>
      <c r="R33" s="124">
        <v>163</v>
      </c>
      <c r="S33" s="124">
        <v>164.4</v>
      </c>
      <c r="T33" s="124">
        <v>167.2</v>
      </c>
      <c r="U33" s="124">
        <v>168.8</v>
      </c>
      <c r="V33" s="124">
        <v>168.4</v>
      </c>
      <c r="W33" s="124">
        <v>169.4</v>
      </c>
      <c r="X33" s="124">
        <v>169.7</v>
      </c>
      <c r="Y33" s="124">
        <v>171.2</v>
      </c>
      <c r="Z33" s="124">
        <v>170.9</v>
      </c>
      <c r="AA33" s="124">
        <v>172.1</v>
      </c>
      <c r="AB33" s="124">
        <v>173.6</v>
      </c>
      <c r="AC33" s="124">
        <v>175.8</v>
      </c>
      <c r="AD33" s="124">
        <v>178.6</v>
      </c>
      <c r="AE33" s="124">
        <v>181</v>
      </c>
      <c r="AF33" s="124">
        <v>181</v>
      </c>
    </row>
    <row r="34" spans="1:32" x14ac:dyDescent="0.3">
      <c r="A34" s="164" t="s">
        <v>28</v>
      </c>
      <c r="B34" s="164" t="s">
        <v>69</v>
      </c>
      <c r="C34" s="124" t="s">
        <v>34</v>
      </c>
      <c r="D34" s="162">
        <f t="shared" si="0"/>
        <v>0.66711382865951885</v>
      </c>
      <c r="E34" s="124">
        <v>151.19999999999999</v>
      </c>
      <c r="F34" s="124">
        <v>151.9</v>
      </c>
      <c r="G34" s="124">
        <v>153.4</v>
      </c>
      <c r="H34" s="124">
        <v>153.80000000000001</v>
      </c>
      <c r="I34" s="124">
        <v>154.4</v>
      </c>
      <c r="J34" s="124">
        <v>156.80000000000001</v>
      </c>
      <c r="K34" s="124">
        <v>157.6</v>
      </c>
      <c r="L34" s="124">
        <v>159</v>
      </c>
      <c r="M34" s="124">
        <v>160</v>
      </c>
      <c r="N34" s="124">
        <v>160</v>
      </c>
      <c r="O34" s="124">
        <v>161</v>
      </c>
      <c r="P34" s="124">
        <v>161.4</v>
      </c>
      <c r="Q34" s="124">
        <v>162</v>
      </c>
      <c r="R34" s="124">
        <v>162.69999999999999</v>
      </c>
      <c r="S34" s="124">
        <v>163.5</v>
      </c>
      <c r="T34" s="124">
        <v>164.6</v>
      </c>
      <c r="U34" s="124">
        <v>166.8</v>
      </c>
      <c r="V34" s="124">
        <v>167.5</v>
      </c>
      <c r="W34" s="124">
        <v>167.5</v>
      </c>
      <c r="X34" s="124">
        <v>168.4</v>
      </c>
      <c r="Y34" s="124">
        <v>169.1</v>
      </c>
      <c r="Z34" s="124">
        <v>169.7</v>
      </c>
      <c r="AA34" s="124">
        <v>170.5</v>
      </c>
      <c r="AB34" s="124">
        <v>171.1</v>
      </c>
      <c r="AC34" s="124">
        <v>172</v>
      </c>
      <c r="AD34" s="124">
        <v>172.8</v>
      </c>
      <c r="AE34" s="124">
        <v>174.1</v>
      </c>
      <c r="AF34" s="124">
        <v>174.1</v>
      </c>
    </row>
    <row r="35" spans="1:32" x14ac:dyDescent="0.3">
      <c r="A35" s="164" t="s">
        <v>29</v>
      </c>
      <c r="B35" s="164" t="s">
        <v>70</v>
      </c>
      <c r="C35" s="124" t="s">
        <v>34</v>
      </c>
      <c r="D35" s="162">
        <f t="shared" si="0"/>
        <v>0.65481753095456197</v>
      </c>
      <c r="E35" s="124">
        <v>158.9</v>
      </c>
      <c r="F35" s="124">
        <v>157.30000000000001</v>
      </c>
      <c r="G35" s="124">
        <v>156.6</v>
      </c>
      <c r="H35" s="124">
        <v>156.80000000000001</v>
      </c>
      <c r="I35" s="124">
        <v>157.80000000000001</v>
      </c>
      <c r="J35" s="124">
        <v>160.4</v>
      </c>
      <c r="K35" s="124">
        <v>161.30000000000001</v>
      </c>
      <c r="L35" s="124">
        <v>162.5</v>
      </c>
      <c r="M35" s="124">
        <v>163.19999999999999</v>
      </c>
      <c r="N35" s="124">
        <v>163.19999999999999</v>
      </c>
      <c r="O35" s="124">
        <v>165.5</v>
      </c>
      <c r="P35" s="124">
        <v>166.7</v>
      </c>
      <c r="Q35" s="124">
        <v>166.2</v>
      </c>
      <c r="R35" s="124">
        <v>165.7</v>
      </c>
      <c r="S35" s="124">
        <v>166.1</v>
      </c>
      <c r="T35" s="124">
        <v>167.7</v>
      </c>
      <c r="U35" s="124">
        <v>170.1</v>
      </c>
      <c r="V35" s="124">
        <v>171.7</v>
      </c>
      <c r="W35" s="124">
        <v>172.6</v>
      </c>
      <c r="X35" s="124">
        <v>173.4</v>
      </c>
      <c r="Y35" s="124">
        <v>174.3</v>
      </c>
      <c r="Z35" s="124">
        <v>175.3</v>
      </c>
      <c r="AA35" s="124">
        <v>176.7</v>
      </c>
      <c r="AB35" s="124">
        <v>176.5</v>
      </c>
      <c r="AC35" s="124">
        <v>175.7</v>
      </c>
      <c r="AD35" s="124">
        <v>176.5</v>
      </c>
      <c r="AE35" s="124">
        <v>177.2</v>
      </c>
      <c r="AF35" s="124">
        <v>177.2</v>
      </c>
    </row>
    <row r="36" spans="1:32" ht="15" thickBot="1" x14ac:dyDescent="0.35"/>
    <row r="37" spans="1:32" x14ac:dyDescent="0.3">
      <c r="B37" s="248" t="s">
        <v>178</v>
      </c>
      <c r="C37" s="249"/>
      <c r="D37" s="249"/>
      <c r="E37" s="249"/>
      <c r="F37" s="249"/>
      <c r="G37" s="249"/>
      <c r="H37" s="249"/>
      <c r="I37" s="249"/>
      <c r="J37" s="249"/>
      <c r="K37" s="249"/>
      <c r="L37" s="249"/>
      <c r="M37" s="249"/>
      <c r="N37" s="250"/>
    </row>
    <row r="38" spans="1:32" ht="18" x14ac:dyDescent="0.35">
      <c r="A38" s="166" t="s">
        <v>79</v>
      </c>
      <c r="B38" s="251"/>
      <c r="C38" s="252"/>
      <c r="D38" s="252"/>
      <c r="E38" s="252"/>
      <c r="F38" s="252"/>
      <c r="G38" s="252"/>
      <c r="H38" s="252"/>
      <c r="I38" s="252"/>
      <c r="J38" s="252"/>
      <c r="K38" s="252"/>
      <c r="L38" s="252"/>
      <c r="M38" s="252"/>
      <c r="N38" s="253"/>
    </row>
    <row r="39" spans="1:32" x14ac:dyDescent="0.3">
      <c r="B39" s="251"/>
      <c r="C39" s="252"/>
      <c r="D39" s="252"/>
      <c r="E39" s="252"/>
      <c r="F39" s="252"/>
      <c r="G39" s="252"/>
      <c r="H39" s="252"/>
      <c r="I39" s="252"/>
      <c r="J39" s="252"/>
      <c r="K39" s="252"/>
      <c r="L39" s="252"/>
      <c r="M39" s="252"/>
      <c r="N39" s="253"/>
    </row>
    <row r="40" spans="1:32" ht="15" thickBot="1" x14ac:dyDescent="0.35">
      <c r="B40" s="254"/>
      <c r="C40" s="255"/>
      <c r="D40" s="255"/>
      <c r="E40" s="255"/>
      <c r="F40" s="255"/>
      <c r="G40" s="255"/>
      <c r="H40" s="255"/>
      <c r="I40" s="255"/>
      <c r="J40" s="255"/>
      <c r="K40" s="255"/>
      <c r="L40" s="255"/>
      <c r="M40" s="255"/>
      <c r="N40" s="256"/>
    </row>
    <row r="44" spans="1:32" ht="21" x14ac:dyDescent="0.4">
      <c r="A44" s="167" t="s">
        <v>64</v>
      </c>
      <c r="B44" s="167" t="s">
        <v>176</v>
      </c>
    </row>
    <row r="45" spans="1:32" x14ac:dyDescent="0.3">
      <c r="A45" t="s">
        <v>3</v>
      </c>
      <c r="B45" s="1">
        <v>0.35390489488918025</v>
      </c>
    </row>
    <row r="46" spans="1:32" x14ac:dyDescent="0.3">
      <c r="A46" t="s">
        <v>4</v>
      </c>
      <c r="B46" s="1">
        <v>0.83598749729266875</v>
      </c>
    </row>
    <row r="47" spans="1:32" x14ac:dyDescent="0.3">
      <c r="A47" t="s">
        <v>5</v>
      </c>
      <c r="B47" s="1">
        <v>-0.18908169545002321</v>
      </c>
    </row>
    <row r="48" spans="1:32" x14ac:dyDescent="0.3">
      <c r="A48" t="s">
        <v>6</v>
      </c>
      <c r="B48" s="1">
        <v>0.49054554470049516</v>
      </c>
    </row>
    <row r="49" spans="1:2" x14ac:dyDescent="0.3">
      <c r="A49" t="s">
        <v>7</v>
      </c>
      <c r="B49" s="1">
        <v>0.84422772692376136</v>
      </c>
    </row>
    <row r="50" spans="1:2" x14ac:dyDescent="0.3">
      <c r="A50" t="s">
        <v>8</v>
      </c>
      <c r="B50" s="1">
        <v>0.6037698236126493</v>
      </c>
    </row>
    <row r="51" spans="1:2" x14ac:dyDescent="0.3">
      <c r="A51" t="s">
        <v>9</v>
      </c>
      <c r="B51" s="1">
        <v>5.5923122604334866E-2</v>
      </c>
    </row>
    <row r="52" spans="1:2" x14ac:dyDescent="0.3">
      <c r="A52" t="s">
        <v>10</v>
      </c>
      <c r="B52" s="1">
        <v>0.34068109477860192</v>
      </c>
    </row>
    <row r="53" spans="1:2" x14ac:dyDescent="0.3">
      <c r="A53" t="s">
        <v>11</v>
      </c>
      <c r="B53" s="1">
        <v>0.57331528370969742</v>
      </c>
    </row>
    <row r="54" spans="1:2" x14ac:dyDescent="0.3">
      <c r="A54" t="s">
        <v>12</v>
      </c>
      <c r="B54" s="1">
        <v>0.46693302033217438</v>
      </c>
    </row>
    <row r="55" spans="1:2" x14ac:dyDescent="0.3">
      <c r="A55" t="s">
        <v>13</v>
      </c>
      <c r="B55" s="1">
        <v>0.69006812063410328</v>
      </c>
    </row>
    <row r="56" spans="1:2" x14ac:dyDescent="0.3">
      <c r="A56" t="s">
        <v>14</v>
      </c>
      <c r="B56" s="1">
        <v>0.61390514483714831</v>
      </c>
    </row>
    <row r="57" spans="1:2" x14ac:dyDescent="0.3">
      <c r="A57" t="s">
        <v>15</v>
      </c>
      <c r="B57" s="1">
        <v>0.6261176035590954</v>
      </c>
    </row>
    <row r="58" spans="1:2" x14ac:dyDescent="0.3">
      <c r="A58" t="s">
        <v>16</v>
      </c>
      <c r="B58" s="1">
        <v>0.58049367771424443</v>
      </c>
    </row>
    <row r="59" spans="1:2" x14ac:dyDescent="0.3">
      <c r="A59" t="s">
        <v>17</v>
      </c>
      <c r="B59" s="1">
        <v>0.63999596542419057</v>
      </c>
    </row>
    <row r="60" spans="1:2" x14ac:dyDescent="0.3">
      <c r="A60" t="s">
        <v>18</v>
      </c>
      <c r="B60" s="1">
        <v>0.65743031343341085</v>
      </c>
    </row>
    <row r="61" spans="1:2" x14ac:dyDescent="0.3">
      <c r="A61" t="s">
        <v>19</v>
      </c>
      <c r="B61" s="1">
        <v>0.64290501356080954</v>
      </c>
    </row>
    <row r="62" spans="1:2" x14ac:dyDescent="0.3">
      <c r="A62" t="s">
        <v>20</v>
      </c>
      <c r="B62" s="1">
        <v>0.5806259009183079</v>
      </c>
    </row>
    <row r="63" spans="1:2" x14ac:dyDescent="0.3">
      <c r="A63" t="s">
        <v>21</v>
      </c>
      <c r="B63" s="1">
        <v>0.68314218184816078</v>
      </c>
    </row>
    <row r="64" spans="1:2" x14ac:dyDescent="0.3">
      <c r="A64" t="s">
        <v>22</v>
      </c>
      <c r="B64" s="1">
        <v>0.62840567323289453</v>
      </c>
    </row>
    <row r="65" spans="1:2" x14ac:dyDescent="0.3">
      <c r="A65" t="s">
        <v>23</v>
      </c>
      <c r="B65" s="1">
        <v>0.62234139728974092</v>
      </c>
    </row>
    <row r="66" spans="1:2" x14ac:dyDescent="0.3">
      <c r="A66" t="s">
        <v>24</v>
      </c>
      <c r="B66" s="1">
        <v>0.76576171271104876</v>
      </c>
    </row>
    <row r="67" spans="1:2" x14ac:dyDescent="0.3">
      <c r="A67" t="s">
        <v>25</v>
      </c>
      <c r="B67" s="1">
        <v>0.70780060439817627</v>
      </c>
    </row>
    <row r="68" spans="1:2" x14ac:dyDescent="0.3">
      <c r="A68" t="s">
        <v>26</v>
      </c>
      <c r="B68" s="1">
        <v>0.5653028282927226</v>
      </c>
    </row>
    <row r="69" spans="1:2" x14ac:dyDescent="0.3">
      <c r="A69" t="s">
        <v>27</v>
      </c>
      <c r="B69" s="1">
        <v>0.54573216251432155</v>
      </c>
    </row>
    <row r="70" spans="1:2" x14ac:dyDescent="0.3">
      <c r="A70" t="s">
        <v>28</v>
      </c>
      <c r="B70" s="1">
        <v>0.66711382865951885</v>
      </c>
    </row>
    <row r="71" spans="1:2" x14ac:dyDescent="0.3">
      <c r="A71" t="s">
        <v>29</v>
      </c>
      <c r="B71" s="1">
        <v>0.65481753095456197</v>
      </c>
    </row>
  </sheetData>
  <mergeCells count="3">
    <mergeCell ref="A5:D5"/>
    <mergeCell ref="B37:N40"/>
    <mergeCell ref="B1:P2"/>
  </mergeCells>
  <conditionalFormatting sqref="B45:B71">
    <cfRule type="colorScale" priority="1">
      <colorScale>
        <cfvo type="min"/>
        <cfvo type="percentile" val="50"/>
        <cfvo type="max"/>
        <color rgb="FFF8696B"/>
        <color rgb="FFFFEB84"/>
        <color rgb="FF63BE7B"/>
      </colorScale>
    </cfRule>
  </conditionalFormatting>
  <conditionalFormatting sqref="D8:D35">
    <cfRule type="colorScale" priority="2">
      <colorScale>
        <cfvo type="min"/>
        <cfvo type="percentile" val="50"/>
        <cfvo type="max"/>
        <color rgb="FFF8696B"/>
        <color rgb="FFFFEB84"/>
        <color rgb="FF63BE7B"/>
      </colorScale>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578A2-1091-4846-B6A0-AE3044DFA79E}">
  <dimension ref="A1"/>
  <sheetViews>
    <sheetView showGridLines="0" tabSelected="1" zoomScale="66" zoomScaleNormal="100" workbookViewId="0">
      <selection activeCell="AA15" sqref="AA15"/>
    </sheetView>
  </sheetViews>
  <sheetFormatPr defaultRowHeight="14.4" x14ac:dyDescent="0.3"/>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12</vt:i4>
      </vt:variant>
    </vt:vector>
  </HeadingPairs>
  <TitlesOfParts>
    <vt:vector size="27" baseType="lpstr">
      <vt:lpstr> Raw_data</vt:lpstr>
      <vt:lpstr>Notes</vt:lpstr>
      <vt:lpstr>Sheet1</vt:lpstr>
      <vt:lpstr> Main_data</vt:lpstr>
      <vt:lpstr> Transposed Data</vt:lpstr>
      <vt:lpstr> Q1</vt:lpstr>
      <vt:lpstr> Q2</vt:lpstr>
      <vt:lpstr> Q3(i)</vt:lpstr>
      <vt:lpstr>Q3(ii)</vt:lpstr>
      <vt:lpstr>Q4(Pre-Covid)</vt:lpstr>
      <vt:lpstr>Q4(Post-Covid)</vt:lpstr>
      <vt:lpstr>Q4(comparison)</vt:lpstr>
      <vt:lpstr>Crude Oil prices</vt:lpstr>
      <vt:lpstr> Q5</vt:lpstr>
      <vt:lpstr>Dashboard</vt:lpstr>
      <vt:lpstr>Broader_Category</vt:lpstr>
      <vt:lpstr>Feb_2019</vt:lpstr>
      <vt:lpstr>Feb_2020</vt:lpstr>
      <vt:lpstr>Feb_2021</vt:lpstr>
      <vt:lpstr>Feb_2022</vt:lpstr>
      <vt:lpstr>Jan_2019</vt:lpstr>
      <vt:lpstr>Mar_2018</vt:lpstr>
      <vt:lpstr>March_2019</vt:lpstr>
      <vt:lpstr>March_2020</vt:lpstr>
      <vt:lpstr>March_2021</vt:lpstr>
      <vt:lpstr>May_2023</vt:lpstr>
      <vt:lpstr>Sector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ARSHIYA AHMED</dc:creator>
  <cp:lastModifiedBy>Amjad Ali Khan Md</cp:lastModifiedBy>
  <dcterms:created xsi:type="dcterms:W3CDTF">2025-09-22T10:07:18Z</dcterms:created>
  <dcterms:modified xsi:type="dcterms:W3CDTF">2025-11-13T15:25:56Z</dcterms:modified>
</cp:coreProperties>
</file>